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LENOVO\OneDrive\Documents\"/>
    </mc:Choice>
  </mc:AlternateContent>
  <xr:revisionPtr revIDLastSave="0" documentId="8_{34FBFC54-CF26-4652-805B-9CF0386F6E9B}" xr6:coauthVersionLast="47" xr6:coauthVersionMax="47" xr10:uidLastSave="{00000000-0000-0000-0000-000000000000}"/>
  <bookViews>
    <workbookView xWindow="-108" yWindow="-108" windowWidth="23256" windowHeight="12456" firstSheet="1" activeTab="1" xr2:uid="{76F63F01-1B5F-4138-A332-810F3DBC0990}"/>
  </bookViews>
  <sheets>
    <sheet name="Pivot Report" sheetId="1" r:id="rId1"/>
    <sheet name="Dashboard" sheetId="2" r:id="rId2"/>
    <sheet name="Satisfaction scoredaily trends" sheetId="7" r:id="rId3"/>
    <sheet name="Average wait time daily trend" sheetId="5" r:id="rId4"/>
    <sheet name="Daily ER No Of patient" sheetId="3" r:id="rId5"/>
  </sheets>
  <definedNames>
    <definedName name="Slicer_Date__Month">#N/A</definedName>
    <definedName name="Slicer_Date__Year">#N/A</definedName>
  </definedNames>
  <calcPr calcId="191029"/>
  <pivotCaches>
    <pivotCache cacheId="2030" r:id="rId6"/>
    <pivotCache cacheId="2033" r:id="rId7"/>
    <pivotCache cacheId="2036" r:id="rId8"/>
    <pivotCache cacheId="2039" r:id="rId9"/>
    <pivotCache cacheId="2042" r:id="rId10"/>
    <pivotCache cacheId="2045" r:id="rId11"/>
    <pivotCache cacheId="2048" r:id="rId12"/>
    <pivotCache cacheId="2051" r:id="rId13"/>
    <pivotCache cacheId="2054" r:id="rId14"/>
    <pivotCache cacheId="2057" r:id="rId15"/>
    <pivotCache cacheId="2060" r:id="rId16"/>
    <pivotCache cacheId="2063" r:id="rId17"/>
  </pivotCaches>
  <extLst>
    <ext xmlns:x14="http://schemas.microsoft.com/office/spreadsheetml/2009/9/main" uri="{876F7934-8845-4945-9796-88D515C7AA90}">
      <x14:pivotCaches>
        <pivotCache cacheId="1186"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44da2e1-717b-488f-a598-0ed0d2e64cb4" name="Hospital Emergency Room Data" connection="Query - Hospital Emergency Room Data"/>
          <x15:modelTable id="Calender_Table_f299bd0b-7dd2-4cf7-a3dc-28a07372b2f8"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3" i="1" l="1"/>
  <c r="C33" i="1"/>
  <c r="B34" i="1"/>
  <c r="C34" i="1"/>
  <c r="A33" i="1"/>
  <c r="A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E04E2F-4C00-4A06-902A-CDBA0B159C5B}" name="Query - Calender_Table" description="Connection to the 'Calender_Table' query in the workbook." type="100" refreshedVersion="8" minRefreshableVersion="5">
    <extLst>
      <ext xmlns:x15="http://schemas.microsoft.com/office/spreadsheetml/2010/11/main" uri="{DE250136-89BD-433C-8126-D09CA5730AF9}">
        <x15:connection id="82b04ae9-dcb2-4f08-abf7-285533d427da"/>
      </ext>
    </extLst>
  </connection>
  <connection id="2" xr16:uid="{90B1CD63-DE4D-42ED-81EB-8031F100DFD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8af5c13-4907-4bf8-baa4-78b7627bc5be"/>
      </ext>
    </extLst>
  </connection>
  <connection id="3" xr16:uid="{EE43EDD9-3D8B-44DA-B512-B0E0D6BB037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<sst xmlns="http://schemas.openxmlformats.org/spreadsheetml/2006/main" count="156" uniqueCount="76">
  <si>
    <t>Distinct Count of Patient Id</t>
  </si>
  <si>
    <t>No. Of Patient</t>
  </si>
  <si>
    <t>Average of Patient Waittime</t>
  </si>
  <si>
    <t>Average of Patient Satisfaction Score</t>
  </si>
  <si>
    <t>Row Labels</t>
  </si>
  <si>
    <t>Grand Total</t>
  </si>
  <si>
    <t>2024</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</si>
  <si>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</si>
  <si>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</si>
  <si>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</si>
  <si>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</si>
  <si>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</si>
  <si>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</si>
  <si>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</si>
  <si>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</si>
  <si>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</si>
  <si>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</si>
  <si>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</si>
  <si>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</si>
  <si>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</si>
  <si>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</si>
  <si>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</si>
  <si>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</si>
  <si>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</si>
  <si>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</si>
  <si>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</si>
  <si>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</si>
  <si>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</si>
  <si>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</si>
  <si>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</si>
  <si>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</si>
  <si>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</si>
  <si>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</si>
  <si>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</si>
  <si>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</si>
  <si>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</si>
  <si>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</si>
  <si>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</si>
  <si>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daily trends of no of patient</t>
  </si>
  <si>
    <t>average wait time</t>
  </si>
  <si>
    <t>Female</t>
  </si>
  <si>
    <t>None</t>
  </si>
  <si>
    <t>Admitted</t>
  </si>
  <si>
    <t>10-19</t>
  </si>
  <si>
    <t>Delay</t>
  </si>
  <si>
    <t>Male</t>
  </si>
  <si>
    <t>Not Admitted</t>
  </si>
  <si>
    <t>30-39</t>
  </si>
  <si>
    <t>40-49</t>
  </si>
  <si>
    <t>20-29</t>
  </si>
  <si>
    <t>Ontime</t>
  </si>
  <si>
    <t>General Practice</t>
  </si>
  <si>
    <t>0-09</t>
  </si>
  <si>
    <t>Orthopedics</t>
  </si>
  <si>
    <t>50-59</t>
  </si>
  <si>
    <t>60-69</t>
  </si>
  <si>
    <t>Satisfaction score daily trend</t>
  </si>
  <si>
    <t>Count of Patient attend Status</t>
  </si>
  <si>
    <t>Count of Patient Admission Flag</t>
  </si>
  <si>
    <t>Admission Status</t>
  </si>
  <si>
    <t>Count of Patient Admission Flag2</t>
  </si>
  <si>
    <t>70-79</t>
  </si>
  <si>
    <t>Physiotherapy</t>
  </si>
  <si>
    <t>Cardiology</t>
  </si>
  <si>
    <t>Neurology</t>
  </si>
  <si>
    <t>Gastroenterology</t>
  </si>
  <si>
    <t>Renal</t>
  </si>
  <si>
    <t>% Status</t>
  </si>
  <si>
    <t xml:space="preserve"> </t>
  </si>
  <si>
    <t>No .of Patient</t>
  </si>
  <si>
    <t>Count of Age Group</t>
  </si>
  <si>
    <t>age group wse analysis</t>
  </si>
  <si>
    <t>attended status</t>
  </si>
  <si>
    <t>Count of Patient Gender</t>
  </si>
  <si>
    <t>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</si>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</sst>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2" fillId="4" borderId="0" xfId="0" applyFont="1" applyFill="1" applyAlignment="1">
      <alignment horizontal="center"/>
    </xf>
    <xf numFmtId="0" fontId="0" fillId="5" borderId="0" xfId="0" applyFill="1" applyAlignment="1">
      <alignment horizontal="center"/>
    </xf>
    <xf numFmtId="9" fontId="0" fillId="5" borderId="0" xfId="1" applyFont="1" applyFill="1" applyAlignment="1">
      <alignment horizontal="center"/>
    </xf>
  </cellXfs>
  <cellStyles count="2">
    <cellStyle name="Normal" xfId="0" builtinId="0"/>
    <cellStyle name="Percent" xfId="1" builtinId="5"/>
  </cellStyles>
  <dxfs count="192">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fill>
        <patternFill patternType="none">
          <fgColor indexed="64"/>
          <bgColor auto="1"/>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patternType="none">
          <fgColor indexed="64"/>
          <bgColor auto="1"/>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bgColor theme="1" tint="0.34998626667073579"/>
        </patternFill>
      </fill>
      <border diagonalUp="0" diagonalDown="0">
        <left/>
        <right/>
        <top/>
        <bottom/>
        <vertical/>
        <horizontal/>
      </border>
    </dxf>
    <dxf>
      <font>
        <b/>
        <color theme="1"/>
      </font>
      <border>
        <bottom style="thin">
          <color theme="5"/>
        </bottom>
        <vertical/>
        <horizontal/>
      </border>
    </dxf>
    <dxf>
      <font>
        <sz val="8"/>
        <color theme="1"/>
      </font>
      <fill>
        <patternFill>
          <bgColor theme="1" tint="0.499984740745262"/>
        </patternFill>
      </fill>
      <border diagonalUp="0" diagonalDown="0">
        <left/>
        <right/>
        <top/>
        <bottom/>
        <vertical/>
        <horizontal/>
      </border>
    </dxf>
    <dxf>
      <font>
        <b/>
        <color theme="1"/>
      </font>
      <border>
        <bottom style="thin">
          <color theme="5"/>
        </bottom>
        <vertical/>
        <horizontal/>
      </border>
    </dxf>
    <dxf>
      <font>
        <sz val="8"/>
        <color theme="1"/>
      </font>
      <fill>
        <patternFill>
          <bgColor theme="1" tint="0.49998474074526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8"/>
        <color theme="1"/>
      </font>
      <fill>
        <patternFill>
          <bgColor theme="0" tint="-0.14996795556505021"/>
        </patternFill>
      </fill>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2" formatCode="0.00"/>
    </dxf>
    <dxf>
      <numFmt numFmtId="2" formatCode="0.00"/>
    </dxf>
  </dxfs>
  <tableStyles count="8" defaultTableStyle="TableStyleMedium2" defaultPivotStyle="PivotStyleLight16">
    <tableStyle name="My style" pivot="0" table="0" count="10" xr9:uid="{6DEFD7ED-6518-4ED2-8E03-52239DE0D7BA}">
      <tableStyleElement type="wholeTable" dxfId="189"/>
      <tableStyleElement type="headerRow" dxfId="188"/>
    </tableStyle>
    <tableStyle name="SlicerStyleDark2 2" pivot="0" table="0" count="10" xr9:uid="{DC613DFD-433E-4018-8702-72CB918A436C}">
      <tableStyleElement type="wholeTable" dxfId="181"/>
      <tableStyleElement type="headerRow" dxfId="180"/>
    </tableStyle>
    <tableStyle name="SlicerStyleDark2 3" pivot="0" table="0" count="10" xr9:uid="{8587921E-FB5D-4C92-9D36-4C56DAB03A6F}">
      <tableStyleElement type="wholeTable" dxfId="179"/>
      <tableStyleElement type="headerRow" dxfId="178"/>
    </tableStyle>
    <tableStyle name="SlicerStyleDark2 3 2" pivot="0" table="0" count="10" xr9:uid="{DD2D2C19-A579-458D-BA4A-54922837853E}">
      <tableStyleElement type="wholeTable" dxfId="177"/>
      <tableStyleElement type="headerRow" dxfId="176"/>
    </tableStyle>
    <tableStyle name="SlicerStyleDark2 4" pivot="0" table="0" count="10" xr9:uid="{91255984-24EF-4ECD-9C59-F41D15238DC0}">
      <tableStyleElement type="wholeTable" dxfId="175"/>
      <tableStyleElement type="headerRow" dxfId="174"/>
    </tableStyle>
    <tableStyle name="SlicerStyleLight2 2" pivot="0" table="0" count="10" xr9:uid="{0C9B0B90-BAC8-44C7-A73E-5BE7219A7D70}">
      <tableStyleElement type="wholeTable" dxfId="187"/>
      <tableStyleElement type="headerRow" dxfId="186"/>
    </tableStyle>
    <tableStyle name="SlicerStyleLight2 2 2" pivot="0" table="0" count="10" xr9:uid="{EC785C84-EB53-4DA7-9DF6-3D60A8FF0E3E}">
      <tableStyleElement type="wholeTable" dxfId="185"/>
      <tableStyleElement type="headerRow" dxfId="184"/>
    </tableStyle>
    <tableStyle name="SlicerStyleLight2 2 2 2" pivot="0" table="0" count="10" xr9:uid="{E354C42C-773C-4F07-88CE-7515D0706F5D}">
      <tableStyleElement type="wholeTable" dxfId="183"/>
      <tableStyleElement type="headerRow" dxfId="182"/>
    </tableStyle>
  </tableStyles>
  <extLst>
    <ext xmlns:x14="http://schemas.microsoft.com/office/spreadsheetml/2009/9/main" uri="{46F421CA-312F-682f-3DD2-61675219B42D}">
      <x14:dxfs count="6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2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 Dashboard.xlsx]Pivot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overflow" horzOverflow="overflow" vert="horz" wrap="non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BE41C91A-7D8B-4F26-99D5-2C3865C4CD4E}" type="CELLRANGE">
                  <a:rPr lang="en-US"/>
                  <a:pPr>
                    <a:defRPr sz="800"/>
                  </a:pPr>
                  <a:t>[CELLRANGE]</a:t>
                </a:fld>
                <a:endParaRPr lang="en-US"/>
              </a:p>
            </c:rich>
          </c:tx>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overflow" horzOverflow="overflow"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32C84D0D-3AD7-4DE2-B02D-842C1D89D9D4}" type="CELLRANGE">
                  <a:rPr lang="en-US"/>
                  <a:pPr>
                    <a:defRPr sz="800"/>
                  </a:pPr>
                  <a:t>[CELLRANGE]</a:t>
                </a:fld>
                <a:endParaRPr lang="en-US"/>
              </a:p>
            </c:rich>
          </c:tx>
          <c:spPr>
            <a:noFill/>
            <a:ln>
              <a:noFill/>
            </a:ln>
            <a:effectLst/>
          </c:spPr>
          <c:txPr>
            <a:bodyPr rot="0" spcFirstLastPara="1" vertOverflow="overflow" horzOverflow="overflow"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7.0398776803842947E-2"/>
          <c:y val="0.11549809785012827"/>
          <c:w val="0.90359782925685017"/>
          <c:h val="0.77113644376542489"/>
        </c:manualLayout>
      </c:layout>
      <c:barChart>
        <c:barDir val="bar"/>
        <c:grouping val="clustered"/>
        <c:varyColors val="0"/>
        <c:ser>
          <c:idx val="0"/>
          <c:order val="0"/>
          <c:tx>
            <c:strRef>
              <c:f>'Pivot Report'!$B$25</c:f>
              <c:strCache>
                <c:ptCount val="1"/>
                <c:pt idx="0">
                  <c:v>Count of Patient Admission Flag</c:v>
                </c:pt>
              </c:strCache>
            </c:strRef>
          </c:tx>
          <c:spPr>
            <a:solidFill>
              <a:schemeClr val="accent1"/>
            </a:solidFill>
            <a:ln>
              <a:noFill/>
            </a:ln>
            <a:effectLst/>
          </c:spPr>
          <c:invertIfNegative val="0"/>
          <c:dLbls>
            <c:dLbl>
              <c:idx val="0"/>
              <c:tx>
                <c:rich>
                  <a:bodyPr rot="0" spcFirstLastPara="1" vertOverflow="overflow" horzOverflow="overflow" vert="horz" wrap="non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BE41C91A-7D8B-4F26-99D5-2C3865C4CD4E}" type="CELLRANGE">
                      <a:rPr lang="en-US"/>
                      <a:pPr>
                        <a:defRPr sz="800"/>
                      </a:pPr>
                      <a:t>[CELLRANGE]</a:t>
                    </a:fld>
                    <a:endParaRPr lang="en-US"/>
                  </a:p>
                </c:rich>
              </c:tx>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dLbl>
              <c:idx val="1"/>
              <c:tx>
                <c:rich>
                  <a:bodyPr/>
                  <a:lstStyle/>
                  <a:p>
                    <a:fld id="{32C84D0D-3AD7-4DE2-B02D-842C1D89D9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overflow" horzOverflow="overflow"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Report'!$A$26:$A$28</c:f>
              <c:strCache>
                <c:ptCount val="2"/>
                <c:pt idx="0">
                  <c:v>Admitted</c:v>
                </c:pt>
                <c:pt idx="1">
                  <c:v>Not Admitted</c:v>
                </c:pt>
              </c:strCache>
            </c:strRef>
          </c:cat>
          <c:val>
            <c:numRef>
              <c:f>'Pivot Report'!$B$26:$B$28</c:f>
              <c:numCache>
                <c:formatCode>0.00</c:formatCode>
                <c:ptCount val="2"/>
                <c:pt idx="0">
                  <c:v>242</c:v>
                </c:pt>
                <c:pt idx="1">
                  <c:v>288</c:v>
                </c:pt>
              </c:numCache>
            </c:numRef>
          </c:val>
          <c:extLst>
            <c:ext xmlns:c16="http://schemas.microsoft.com/office/drawing/2014/chart" uri="{C3380CC4-5D6E-409C-BE32-E72D297353CC}">
              <c16:uniqueId val="{00000005-F393-4FA3-9FB5-E9E537D9398F}"/>
            </c:ext>
          </c:extLst>
        </c:ser>
        <c:ser>
          <c:idx val="1"/>
          <c:order val="1"/>
          <c:tx>
            <c:strRef>
              <c:f>'Pivot Report'!$C$25</c:f>
              <c:strCache>
                <c:ptCount val="1"/>
                <c:pt idx="0">
                  <c:v>Count of Patient Admission Flag2</c:v>
                </c:pt>
              </c:strCache>
            </c:strRef>
          </c:tx>
          <c:spPr>
            <a:solidFill>
              <a:schemeClr val="accent2"/>
            </a:solidFill>
            <a:ln>
              <a:noFill/>
            </a:ln>
            <a:effectLst/>
          </c:spPr>
          <c:invertIfNegative val="0"/>
          <c:cat>
            <c:strRef>
              <c:f>'Pivot Report'!$A$26:$A$28</c:f>
              <c:strCache>
                <c:ptCount val="2"/>
                <c:pt idx="0">
                  <c:v>Admitted</c:v>
                </c:pt>
                <c:pt idx="1">
                  <c:v>Not Admitted</c:v>
                </c:pt>
              </c:strCache>
            </c:strRef>
          </c:cat>
          <c:val>
            <c:numRef>
              <c:f>'Pivot Report'!$C$26:$C$28</c:f>
              <c:numCache>
                <c:formatCode>0.00%</c:formatCode>
                <c:ptCount val="2"/>
                <c:pt idx="0">
                  <c:v>0.45660377358490567</c:v>
                </c:pt>
                <c:pt idx="1">
                  <c:v>0.54339622641509433</c:v>
                </c:pt>
              </c:numCache>
            </c:numRef>
          </c:val>
          <c:extLst>
            <c:ext xmlns:c16="http://schemas.microsoft.com/office/drawing/2014/chart" uri="{C3380CC4-5D6E-409C-BE32-E72D297353CC}">
              <c16:uniqueId val="{00000006-F393-4FA3-9FB5-E9E537D9398F}"/>
            </c:ext>
          </c:extLst>
        </c:ser>
        <c:dLbls>
          <c:showLegendKey val="0"/>
          <c:showVal val="0"/>
          <c:showCatName val="0"/>
          <c:showSerName val="0"/>
          <c:showPercent val="0"/>
          <c:showBubbleSize val="0"/>
        </c:dLbls>
        <c:gapWidth val="50"/>
        <c:axId val="1892297631"/>
        <c:axId val="710717552"/>
      </c:barChart>
      <c:catAx>
        <c:axId val="1892297631"/>
        <c:scaling>
          <c:orientation val="minMax"/>
        </c:scaling>
        <c:delete val="1"/>
        <c:axPos val="l"/>
        <c:numFmt formatCode="General" sourceLinked="1"/>
        <c:majorTickMark val="none"/>
        <c:minorTickMark val="none"/>
        <c:tickLblPos val="nextTo"/>
        <c:crossAx val="710717552"/>
        <c:crosses val="autoZero"/>
        <c:auto val="1"/>
        <c:lblAlgn val="ctr"/>
        <c:lblOffset val="100"/>
        <c:noMultiLvlLbl val="0"/>
      </c:catAx>
      <c:valAx>
        <c:axId val="710717552"/>
        <c:scaling>
          <c:orientation val="minMax"/>
        </c:scaling>
        <c:delete val="1"/>
        <c:axPos val="b"/>
        <c:numFmt formatCode="0.00" sourceLinked="1"/>
        <c:majorTickMark val="none"/>
        <c:minorTickMark val="none"/>
        <c:tickLblPos val="nextTo"/>
        <c:crossAx val="189229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 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43752095906436E-2"/>
          <c:y val="0.14702446478674611"/>
          <c:w val="0.94039999147617981"/>
          <c:h val="0.75941451216714273"/>
        </c:manualLayout>
      </c:layout>
      <c:areaChart>
        <c:grouping val="standard"/>
        <c:varyColors val="0"/>
        <c:ser>
          <c:idx val="0"/>
          <c:order val="0"/>
          <c:tx>
            <c:strRef>
              <c:f>'Pivot Report'!$F$6</c:f>
              <c:strCache>
                <c:ptCount val="1"/>
                <c:pt idx="0">
                  <c:v>Total</c:v>
                </c:pt>
              </c:strCache>
            </c:strRef>
          </c:tx>
          <c:spPr>
            <a:solidFill>
              <a:schemeClr val="accent1"/>
            </a:solidFill>
            <a:ln w="25400">
              <a:noFill/>
            </a:ln>
            <a:effectLst/>
          </c:spPr>
          <c:cat>
            <c:strRef>
              <c:f>'Pivot Report'!$E$7:$E$38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Report'!$F$7:$F$38</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1-7CF4-4310-84FA-E0B171FA4843}"/>
            </c:ext>
          </c:extLst>
        </c:ser>
        <c:dLbls>
          <c:showLegendKey val="0"/>
          <c:showVal val="0"/>
          <c:showCatName val="0"/>
          <c:showSerName val="0"/>
          <c:showPercent val="0"/>
          <c:showBubbleSize val="0"/>
        </c:dLbls>
        <c:axId val="1892234527"/>
        <c:axId val="710741072"/>
      </c:areaChart>
      <c:catAx>
        <c:axId val="1892234527"/>
        <c:scaling>
          <c:orientation val="minMax"/>
        </c:scaling>
        <c:delete val="1"/>
        <c:axPos val="b"/>
        <c:numFmt formatCode="General" sourceLinked="1"/>
        <c:majorTickMark val="out"/>
        <c:minorTickMark val="none"/>
        <c:tickLblPos val="nextTo"/>
        <c:crossAx val="710741072"/>
        <c:crosses val="autoZero"/>
        <c:auto val="1"/>
        <c:lblAlgn val="ctr"/>
        <c:lblOffset val="100"/>
        <c:noMultiLvlLbl val="0"/>
      </c:catAx>
      <c:valAx>
        <c:axId val="710741072"/>
        <c:scaling>
          <c:orientation val="minMax"/>
        </c:scaling>
        <c:delete val="1"/>
        <c:axPos val="l"/>
        <c:numFmt formatCode="General" sourceLinked="1"/>
        <c:majorTickMark val="none"/>
        <c:minorTickMark val="none"/>
        <c:tickLblPos val="nextTo"/>
        <c:crossAx val="189223452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 Dashboard.xlsx]Pivot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5252612792396157"/>
          <c:w val="1"/>
          <c:h val="0.51481396712407679"/>
        </c:manualLayout>
      </c:layout>
      <c:areaChart>
        <c:grouping val="standard"/>
        <c:varyColors val="0"/>
        <c:ser>
          <c:idx val="0"/>
          <c:order val="0"/>
          <c:tx>
            <c:strRef>
              <c:f>'Pivot Report'!$N$7</c:f>
              <c:strCache>
                <c:ptCount val="1"/>
                <c:pt idx="0">
                  <c:v>Total</c:v>
                </c:pt>
              </c:strCache>
            </c:strRef>
          </c:tx>
          <c:spPr>
            <a:solidFill>
              <a:schemeClr val="accent1"/>
            </a:solidFill>
            <a:ln w="25400">
              <a:noFill/>
            </a:ln>
            <a:effectLst/>
          </c:spPr>
          <c:cat>
            <c:strRef>
              <c:f>'Pivot Report'!$M$8:$M$39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Report'!$N$8:$N$39</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3-F5D9-4728-A0BF-0640F38A07C9}"/>
            </c:ext>
          </c:extLst>
        </c:ser>
        <c:dLbls>
          <c:showLegendKey val="0"/>
          <c:showVal val="0"/>
          <c:showCatName val="0"/>
          <c:showSerName val="0"/>
          <c:showPercent val="0"/>
          <c:showBubbleSize val="0"/>
        </c:dLbls>
        <c:axId val="288687328"/>
        <c:axId val="710816912"/>
      </c:areaChart>
      <c:catAx>
        <c:axId val="288687328"/>
        <c:scaling>
          <c:orientation val="minMax"/>
        </c:scaling>
        <c:delete val="1"/>
        <c:axPos val="b"/>
        <c:numFmt formatCode="General" sourceLinked="1"/>
        <c:majorTickMark val="out"/>
        <c:minorTickMark val="none"/>
        <c:tickLblPos val="nextTo"/>
        <c:crossAx val="710816912"/>
        <c:crosses val="autoZero"/>
        <c:auto val="1"/>
        <c:lblAlgn val="ctr"/>
        <c:lblOffset val="100"/>
        <c:noMultiLvlLbl val="0"/>
      </c:catAx>
      <c:valAx>
        <c:axId val="710816912"/>
        <c:scaling>
          <c:orientation val="minMax"/>
        </c:scaling>
        <c:delete val="1"/>
        <c:axPos val="l"/>
        <c:numFmt formatCode="0.00" sourceLinked="1"/>
        <c:majorTickMark val="none"/>
        <c:minorTickMark val="none"/>
        <c:tickLblPos val="nextTo"/>
        <c:crossAx val="28868732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 Dashboard.xlsx]Pivot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807447774750227"/>
          <c:w val="1"/>
          <c:h val="0.88192595150443931"/>
        </c:manualLayout>
      </c:layout>
      <c:areaChart>
        <c:grouping val="standard"/>
        <c:varyColors val="0"/>
        <c:ser>
          <c:idx val="0"/>
          <c:order val="0"/>
          <c:tx>
            <c:strRef>
              <c:f>'Pivot Report'!$S$7</c:f>
              <c:strCache>
                <c:ptCount val="1"/>
                <c:pt idx="0">
                  <c:v>Total</c:v>
                </c:pt>
              </c:strCache>
            </c:strRef>
          </c:tx>
          <c:spPr>
            <a:solidFill>
              <a:schemeClr val="accent1"/>
            </a:solidFill>
            <a:ln w="25400">
              <a:noFill/>
            </a:ln>
            <a:effectLst/>
          </c:spPr>
          <c:cat>
            <c:strRef>
              <c:f>'Pivot Report'!$R$8:$R$38</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Report'!$S$8:$S$38</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1-32E5-42F2-BD48-1DAF1BCA4B97}"/>
            </c:ext>
          </c:extLst>
        </c:ser>
        <c:dLbls>
          <c:showLegendKey val="0"/>
          <c:showVal val="0"/>
          <c:showCatName val="0"/>
          <c:showSerName val="0"/>
          <c:showPercent val="0"/>
          <c:showBubbleSize val="0"/>
        </c:dLbls>
        <c:axId val="983381184"/>
        <c:axId val="710811152"/>
      </c:areaChart>
      <c:catAx>
        <c:axId val="983381184"/>
        <c:scaling>
          <c:orientation val="minMax"/>
        </c:scaling>
        <c:delete val="1"/>
        <c:axPos val="b"/>
        <c:numFmt formatCode="General" sourceLinked="1"/>
        <c:majorTickMark val="out"/>
        <c:minorTickMark val="none"/>
        <c:tickLblPos val="nextTo"/>
        <c:crossAx val="710811152"/>
        <c:crosses val="autoZero"/>
        <c:auto val="1"/>
        <c:lblAlgn val="ctr"/>
        <c:lblOffset val="100"/>
        <c:noMultiLvlLbl val="0"/>
      </c:catAx>
      <c:valAx>
        <c:axId val="710811152"/>
        <c:scaling>
          <c:orientation val="minMax"/>
        </c:scaling>
        <c:delete val="1"/>
        <c:axPos val="l"/>
        <c:numFmt formatCode="0.00" sourceLinked="1"/>
        <c:majorTickMark val="none"/>
        <c:minorTickMark val="none"/>
        <c:tickLblPos val="nextTo"/>
        <c:crossAx val="983381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 Dashboard.xlsx]Pivot Report!PivotTable9</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869797850800192E-2"/>
          <c:y val="7.214098432260703E-2"/>
          <c:w val="0.93590309160567908"/>
          <c:h val="0.8314586744500605"/>
        </c:manualLayout>
      </c:layout>
      <c:barChart>
        <c:barDir val="col"/>
        <c:grouping val="clustered"/>
        <c:varyColors val="0"/>
        <c:ser>
          <c:idx val="0"/>
          <c:order val="0"/>
          <c:tx>
            <c:strRef>
              <c:f>'Pivot Report'!$B$41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Report'!$A$42:$A$50</c:f>
              <c:strCache>
                <c:ptCount val="8"/>
                <c:pt idx="0">
                  <c:v>0-09</c:v>
                </c:pt>
                <c:pt idx="1">
                  <c:v>10-19</c:v>
                </c:pt>
                <c:pt idx="2">
                  <c:v>20-29</c:v>
                </c:pt>
                <c:pt idx="3">
                  <c:v>30-39</c:v>
                </c:pt>
                <c:pt idx="4">
                  <c:v>40-49</c:v>
                </c:pt>
                <c:pt idx="5">
                  <c:v>50-59</c:v>
                </c:pt>
                <c:pt idx="6">
                  <c:v>60-69</c:v>
                </c:pt>
                <c:pt idx="7">
                  <c:v>70-79</c:v>
                </c:pt>
              </c:strCache>
            </c:strRef>
          </c:cat>
          <c:val>
            <c:numRef>
              <c:f>'Pivot Report'!$B$42:$B$50</c:f>
              <c:numCache>
                <c:formatCode>0</c:formatCode>
                <c:ptCount val="8"/>
                <c:pt idx="0">
                  <c:v>63</c:v>
                </c:pt>
                <c:pt idx="1">
                  <c:v>63</c:v>
                </c:pt>
                <c:pt idx="2">
                  <c:v>65</c:v>
                </c:pt>
                <c:pt idx="3">
                  <c:v>60</c:v>
                </c:pt>
                <c:pt idx="4">
                  <c:v>65</c:v>
                </c:pt>
                <c:pt idx="5">
                  <c:v>72</c:v>
                </c:pt>
                <c:pt idx="6">
                  <c:v>73</c:v>
                </c:pt>
                <c:pt idx="7">
                  <c:v>69</c:v>
                </c:pt>
              </c:numCache>
            </c:numRef>
          </c:val>
          <c:extLst>
            <c:ext xmlns:c16="http://schemas.microsoft.com/office/drawing/2014/chart" uri="{C3380CC4-5D6E-409C-BE32-E72D297353CC}">
              <c16:uniqueId val="{00000001-4236-4DD1-9ED5-D16CCECDE1B6}"/>
            </c:ext>
          </c:extLst>
        </c:ser>
        <c:dLbls>
          <c:showLegendKey val="0"/>
          <c:showVal val="0"/>
          <c:showCatName val="0"/>
          <c:showSerName val="0"/>
          <c:showPercent val="0"/>
          <c:showBubbleSize val="0"/>
        </c:dLbls>
        <c:gapWidth val="224"/>
        <c:overlap val="-27"/>
        <c:axId val="1892328255"/>
        <c:axId val="710702672"/>
      </c:barChart>
      <c:catAx>
        <c:axId val="189232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710702672"/>
        <c:crosses val="autoZero"/>
        <c:auto val="1"/>
        <c:lblAlgn val="ctr"/>
        <c:lblOffset val="100"/>
        <c:noMultiLvlLbl val="0"/>
      </c:catAx>
      <c:valAx>
        <c:axId val="710702672"/>
        <c:scaling>
          <c:orientation val="minMax"/>
        </c:scaling>
        <c:delete val="1"/>
        <c:axPos val="l"/>
        <c:numFmt formatCode="0" sourceLinked="1"/>
        <c:majorTickMark val="none"/>
        <c:minorTickMark val="none"/>
        <c:tickLblPos val="nextTo"/>
        <c:crossAx val="189232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 Dashboard.xlsx]Pivot Report!PivotTable10</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2792847318699238"/>
          <c:y val="0.18219066252307251"/>
          <c:w val="0.70348972108732144"/>
          <c:h val="0.67290272054814992"/>
        </c:manualLayout>
      </c:layout>
      <c:pieChart>
        <c:varyColors val="1"/>
        <c:ser>
          <c:idx val="0"/>
          <c:order val="0"/>
          <c:tx>
            <c:strRef>
              <c:f>'Pivot Report'!$B$58</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Report'!$A$59:$A$61</c:f>
              <c:strCache>
                <c:ptCount val="2"/>
                <c:pt idx="0">
                  <c:v>Delay</c:v>
                </c:pt>
                <c:pt idx="1">
                  <c:v>Ontime</c:v>
                </c:pt>
              </c:strCache>
            </c:strRef>
          </c:cat>
          <c:val>
            <c:numRef>
              <c:f>'Pivot Report'!$B$59:$B$61</c:f>
              <c:numCache>
                <c:formatCode>0</c:formatCode>
                <c:ptCount val="2"/>
                <c:pt idx="0">
                  <c:v>333</c:v>
                </c:pt>
                <c:pt idx="1">
                  <c:v>197</c:v>
                </c:pt>
              </c:numCache>
            </c:numRef>
          </c:val>
          <c:extLst>
            <c:ext xmlns:c16="http://schemas.microsoft.com/office/drawing/2014/chart" uri="{C3380CC4-5D6E-409C-BE32-E72D297353CC}">
              <c16:uniqueId val="{00000005-BE10-4100-9245-0C616274CD3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8754095913373479E-2"/>
          <c:y val="4.2280157515614578E-2"/>
          <c:w val="0.77437368616870139"/>
          <c:h val="0.116796223167414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 Dashboard.xlsx]Pivot Report!PivotTable11</c:name>
    <c:fmtId val="29"/>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E8BC291-1B3E-49A1-87F7-367EAB93B42D}" type="PERCENTAGE">
                  <a:rPr lang="en-US" baseline="0"/>
                  <a:pPr>
                    <a:defRPr>
                      <a:solidFill>
                        <a:schemeClr val="l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A009407-0DBA-4072-84D6-2014A1AB6255}" type="PERCENTAGE">
                  <a:rPr lang="en-US" baseline="0"/>
                  <a:pPr>
                    <a:defRPr>
                      <a:solidFill>
                        <a:schemeClr val="l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4383721280616535"/>
          <c:y val="0.20761738528106757"/>
          <c:w val="0.70909580640578851"/>
          <c:h val="0.66118392759458655"/>
        </c:manualLayout>
      </c:layout>
      <c:doughnutChart>
        <c:varyColors val="1"/>
        <c:ser>
          <c:idx val="0"/>
          <c:order val="0"/>
          <c:tx>
            <c:strRef>
              <c:f>'Pivot Report'!$B$68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7-D7DD-4DD4-BEB7-25A6DF92D66E}"/>
              </c:ext>
            </c:extLst>
          </c:dPt>
          <c:dPt>
            <c:idx val="1"/>
            <c:bubble3D val="0"/>
            <c:spPr>
              <a:solidFill>
                <a:schemeClr val="accent2"/>
              </a:solidFill>
              <a:ln>
                <a:noFill/>
              </a:ln>
              <a:effectLst/>
            </c:spPr>
            <c:extLst>
              <c:ext xmlns:c16="http://schemas.microsoft.com/office/drawing/2014/chart" uri="{C3380CC4-5D6E-409C-BE32-E72D297353CC}">
                <c16:uniqueId val="{00000008-D7DD-4DD4-BEB7-25A6DF92D66E}"/>
              </c:ext>
            </c:extLst>
          </c:dPt>
          <c:dLbls>
            <c:dLbl>
              <c:idx val="0"/>
              <c:tx>
                <c:rich>
                  <a:bodyPr/>
                  <a:lstStyle/>
                  <a:p>
                    <a:r>
                      <a:rPr lang="en-US" baseline="0"/>
                      <a:t> </a:t>
                    </a:r>
                    <a:fld id="{7E8BC291-1B3E-49A1-87F7-367EAB93B42D}"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7DD-4DD4-BEB7-25A6DF92D66E}"/>
                </c:ext>
              </c:extLst>
            </c:dLbl>
            <c:dLbl>
              <c:idx val="1"/>
              <c:tx>
                <c:rich>
                  <a:bodyPr/>
                  <a:lstStyle/>
                  <a:p>
                    <a:r>
                      <a:rPr lang="en-US" baseline="0"/>
                      <a:t> </a:t>
                    </a:r>
                    <a:fld id="{7A009407-0DBA-4072-84D6-2014A1AB6255}"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D7DD-4DD4-BEB7-25A6DF92D66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259</c:v>
                </c:pt>
                <c:pt idx="1">
                  <c:v>271</c:v>
                </c:pt>
              </c:numCache>
            </c:numRef>
          </c:val>
          <c:extLst>
            <c:ext xmlns:c16="http://schemas.microsoft.com/office/drawing/2014/chart" uri="{C3380CC4-5D6E-409C-BE32-E72D297353CC}">
              <c16:uniqueId val="{00000005-D7DD-4DD4-BEB7-25A6DF92D66E}"/>
            </c:ext>
          </c:extLst>
        </c:ser>
        <c:dLbls>
          <c:showLegendKey val="0"/>
          <c:showVal val="0"/>
          <c:showCatName val="0"/>
          <c:showSerName val="0"/>
          <c:showPercent val="1"/>
          <c:showBubbleSize val="0"/>
          <c:showLeaderLines val="1"/>
        </c:dLbls>
        <c:firstSliceAng val="0"/>
        <c:holeSize val="48"/>
      </c:doughnutChart>
      <c:spPr>
        <a:noFill/>
        <a:ln>
          <a:noFill/>
        </a:ln>
        <a:effectLst/>
      </c:spPr>
    </c:plotArea>
    <c:legend>
      <c:legendPos val="r"/>
      <c:layout>
        <c:manualLayout>
          <c:xMode val="edge"/>
          <c:yMode val="edge"/>
          <c:x val="0.11572125847798721"/>
          <c:y val="2.3880486911837867E-3"/>
          <c:w val="0.67717017716372008"/>
          <c:h val="0.161429919757241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 Dashboard.xlsx]Pivot Report!PivotTable12</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43402861649879"/>
          <c:y val="6.0516926189431594E-2"/>
          <c:w val="0.65933137823925858"/>
          <c:h val="0.78767952986040601"/>
        </c:manualLayout>
      </c:layout>
      <c:barChart>
        <c:barDir val="bar"/>
        <c:grouping val="clustered"/>
        <c:varyColors val="0"/>
        <c:ser>
          <c:idx val="0"/>
          <c:order val="0"/>
          <c:tx>
            <c:strRef>
              <c:f>'Pivot Report'!$B$78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Report'!$A$79:$A$87</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Report'!$B$79:$B$87</c:f>
              <c:numCache>
                <c:formatCode>0</c:formatCode>
                <c:ptCount val="8"/>
                <c:pt idx="0">
                  <c:v>7</c:v>
                </c:pt>
                <c:pt idx="1">
                  <c:v>10</c:v>
                </c:pt>
                <c:pt idx="2">
                  <c:v>12</c:v>
                </c:pt>
                <c:pt idx="3">
                  <c:v>14</c:v>
                </c:pt>
                <c:pt idx="4">
                  <c:v>18</c:v>
                </c:pt>
                <c:pt idx="5">
                  <c:v>53</c:v>
                </c:pt>
                <c:pt idx="6">
                  <c:v>109</c:v>
                </c:pt>
                <c:pt idx="7">
                  <c:v>307</c:v>
                </c:pt>
              </c:numCache>
            </c:numRef>
          </c:val>
          <c:extLst>
            <c:ext xmlns:c16="http://schemas.microsoft.com/office/drawing/2014/chart" uri="{C3380CC4-5D6E-409C-BE32-E72D297353CC}">
              <c16:uniqueId val="{00000001-72C4-4F53-8336-0D4F225920DA}"/>
            </c:ext>
          </c:extLst>
        </c:ser>
        <c:dLbls>
          <c:showLegendKey val="0"/>
          <c:showVal val="0"/>
          <c:showCatName val="0"/>
          <c:showSerName val="0"/>
          <c:showPercent val="0"/>
          <c:showBubbleSize val="0"/>
        </c:dLbls>
        <c:gapWidth val="27"/>
        <c:axId val="1892514751"/>
        <c:axId val="710759312"/>
      </c:barChart>
      <c:catAx>
        <c:axId val="189251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0759312"/>
        <c:crosses val="autoZero"/>
        <c:auto val="1"/>
        <c:lblAlgn val="ctr"/>
        <c:lblOffset val="100"/>
        <c:noMultiLvlLbl val="0"/>
      </c:catAx>
      <c:valAx>
        <c:axId val="7107593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251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 Dashboard.xlsx]Pivot Report!PivotTable6</c:name>
    <c:fmtId val="2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93922789746317E-2"/>
          <c:y val="4.6045850264434279E-2"/>
          <c:w val="0.96982652775583622"/>
          <c:h val="0.92856212943501593"/>
        </c:manualLayout>
      </c:layout>
      <c:areaChart>
        <c:grouping val="standard"/>
        <c:varyColors val="0"/>
        <c:ser>
          <c:idx val="0"/>
          <c:order val="0"/>
          <c:tx>
            <c:strRef>
              <c:f>'Pivot Report'!$S$7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Report'!$R$8:$R$38</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Report'!$S$8:$S$38</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1-5360-4983-85F7-57FB8ECD159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83381184"/>
        <c:axId val="710811152"/>
      </c:areaChart>
      <c:catAx>
        <c:axId val="9833811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0811152"/>
        <c:crosses val="autoZero"/>
        <c:auto val="1"/>
        <c:lblAlgn val="ctr"/>
        <c:lblOffset val="100"/>
        <c:noMultiLvlLbl val="0"/>
      </c:catAx>
      <c:valAx>
        <c:axId val="710811152"/>
        <c:scaling>
          <c:orientation val="minMax"/>
        </c:scaling>
        <c:delete val="1"/>
        <c:axPos val="l"/>
        <c:numFmt formatCode="0.00" sourceLinked="1"/>
        <c:majorTickMark val="out"/>
        <c:minorTickMark val="none"/>
        <c:tickLblPos val="nextTo"/>
        <c:crossAx val="983381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 Dashboard.xlsx]Pivot Report!PivotTable5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93809114359415E-2"/>
          <c:y val="0.1123940664133401"/>
          <c:w val="0.93694468329034108"/>
          <c:h val="0.69721536673587448"/>
        </c:manualLayout>
      </c:layout>
      <c:areaChart>
        <c:grouping val="standard"/>
        <c:varyColors val="0"/>
        <c:ser>
          <c:idx val="0"/>
          <c:order val="0"/>
          <c:tx>
            <c:strRef>
              <c:f>'Pivot Report'!$N$7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Report'!$M$8:$M$39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Report'!$N$8:$N$39</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1-3209-41D8-852F-6738B7E73C2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88687328"/>
        <c:axId val="710816912"/>
      </c:areaChart>
      <c:catAx>
        <c:axId val="2886873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0816912"/>
        <c:crosses val="autoZero"/>
        <c:auto val="1"/>
        <c:lblAlgn val="ctr"/>
        <c:lblOffset val="100"/>
        <c:noMultiLvlLbl val="0"/>
      </c:catAx>
      <c:valAx>
        <c:axId val="710816912"/>
        <c:scaling>
          <c:orientation val="minMax"/>
        </c:scaling>
        <c:delete val="1"/>
        <c:axPos val="l"/>
        <c:numFmt formatCode="0.00" sourceLinked="1"/>
        <c:majorTickMark val="out"/>
        <c:minorTickMark val="none"/>
        <c:tickLblPos val="nextTo"/>
        <c:crossAx val="2886873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 Dashboard.xlsx]Pivot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26001405481379E-2"/>
          <c:y val="2.9291154071470416E-2"/>
          <c:w val="0.94698992738346222"/>
          <c:h val="0.90006365636632857"/>
        </c:manualLayout>
      </c:layout>
      <c:areaChart>
        <c:grouping val="standard"/>
        <c:varyColors val="0"/>
        <c:ser>
          <c:idx val="0"/>
          <c:order val="0"/>
          <c:tx>
            <c:strRef>
              <c:f>'Pivot Report'!$F$6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Report'!$E$7:$E$38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Report'!$F$7:$F$38</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1-102B-4AF9-8BC2-160AB0422F8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92234527"/>
        <c:axId val="710741072"/>
      </c:areaChart>
      <c:catAx>
        <c:axId val="18922345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0741072"/>
        <c:crosses val="autoZero"/>
        <c:auto val="1"/>
        <c:lblAlgn val="ctr"/>
        <c:lblOffset val="100"/>
        <c:noMultiLvlLbl val="0"/>
      </c:catAx>
      <c:valAx>
        <c:axId val="710741072"/>
        <c:scaling>
          <c:orientation val="minMax"/>
        </c:scaling>
        <c:delete val="1"/>
        <c:axPos val="l"/>
        <c:numFmt formatCode="General" sourceLinked="1"/>
        <c:majorTickMark val="out"/>
        <c:minorTickMark val="none"/>
        <c:tickLblPos val="nextTo"/>
        <c:crossAx val="18922345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7</xdr:col>
      <xdr:colOff>601980</xdr:colOff>
      <xdr:row>5</xdr:row>
      <xdr:rowOff>114300</xdr:rowOff>
    </xdr:from>
    <xdr:to>
      <xdr:col>10</xdr:col>
      <xdr:colOff>601980</xdr:colOff>
      <xdr:row>19</xdr:row>
      <xdr:rowOff>135255</xdr:rowOff>
    </xdr:to>
    <mc:AlternateContent xmlns:mc="http://schemas.openxmlformats.org/markup-compatibility/2006">
      <mc:Choice xmlns:a14="http://schemas.microsoft.com/office/drawing/2010/main" Requires="a14">
        <xdr:graphicFrame macro="">
          <xdr:nvGraphicFramePr>
            <xdr:cNvPr id="2" name="Date (Month)">
              <a:extLst>
                <a:ext uri="{FF2B5EF4-FFF2-40B4-BE49-F238E27FC236}">
                  <a16:creationId xmlns:a16="http://schemas.microsoft.com/office/drawing/2014/main" id="{4B9BA747-DB02-A4D5-CC2F-1467E445102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0622280" y="10287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32</xdr:row>
      <xdr:rowOff>7620</xdr:rowOff>
    </xdr:from>
    <xdr:to>
      <xdr:col>4</xdr:col>
      <xdr:colOff>0</xdr:colOff>
      <xdr:row>33</xdr:row>
      <xdr:rowOff>266700</xdr:rowOff>
    </xdr:to>
    <xdr:graphicFrame macro="">
      <xdr:nvGraphicFramePr>
        <xdr:cNvPr id="7" name="Chart 6">
          <a:extLst>
            <a:ext uri="{FF2B5EF4-FFF2-40B4-BE49-F238E27FC236}">
              <a16:creationId xmlns:a16="http://schemas.microsoft.com/office/drawing/2014/main" id="{FBF3ED38-D130-F2C4-9883-216AC5486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1729740</xdr:colOff>
      <xdr:row>92</xdr:row>
      <xdr:rowOff>7620</xdr:rowOff>
    </xdr:from>
    <xdr:to>
      <xdr:col>3</xdr:col>
      <xdr:colOff>876300</xdr:colOff>
      <xdr:row>106</xdr:row>
      <xdr:rowOff>28575</xdr:rowOff>
    </xdr:to>
    <mc:AlternateContent xmlns:mc="http://schemas.openxmlformats.org/markup-compatibility/2006">
      <mc:Choice xmlns:a14="http://schemas.microsoft.com/office/drawing/2010/main" Requires="a14">
        <xdr:graphicFrame macro="">
          <xdr:nvGraphicFramePr>
            <xdr:cNvPr id="12" name="Date (Year)">
              <a:extLst>
                <a:ext uri="{FF2B5EF4-FFF2-40B4-BE49-F238E27FC236}">
                  <a16:creationId xmlns:a16="http://schemas.microsoft.com/office/drawing/2014/main" id="{71DBAC51-EB4D-CCF0-86EC-0A2FD2B6B09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086100" y="16946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54990</xdr:colOff>
      <xdr:row>0</xdr:row>
      <xdr:rowOff>99060</xdr:rowOff>
    </xdr:from>
    <xdr:to>
      <xdr:col>7</xdr:col>
      <xdr:colOff>557752</xdr:colOff>
      <xdr:row>4</xdr:row>
      <xdr:rowOff>179502</xdr:rowOff>
    </xdr:to>
    <xdr:sp macro="" textlink="">
      <xdr:nvSpPr>
        <xdr:cNvPr id="2" name="Rectangle: Rounded Corners 1">
          <a:extLst>
            <a:ext uri="{FF2B5EF4-FFF2-40B4-BE49-F238E27FC236}">
              <a16:creationId xmlns:a16="http://schemas.microsoft.com/office/drawing/2014/main" id="{42D2754A-6D03-DDE3-4A84-30FDAF6D6188}"/>
            </a:ext>
          </a:extLst>
        </xdr:cNvPr>
        <xdr:cNvSpPr/>
      </xdr:nvSpPr>
      <xdr:spPr>
        <a:xfrm>
          <a:off x="54990" y="99060"/>
          <a:ext cx="4791958" cy="84244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31423</xdr:colOff>
      <xdr:row>0</xdr:row>
      <xdr:rowOff>99060</xdr:rowOff>
    </xdr:from>
    <xdr:to>
      <xdr:col>10</xdr:col>
      <xdr:colOff>597032</xdr:colOff>
      <xdr:row>4</xdr:row>
      <xdr:rowOff>179502</xdr:rowOff>
    </xdr:to>
    <xdr:sp macro="" textlink="">
      <xdr:nvSpPr>
        <xdr:cNvPr id="3" name="Rectangle: Rounded Corners 2">
          <a:extLst>
            <a:ext uri="{FF2B5EF4-FFF2-40B4-BE49-F238E27FC236}">
              <a16:creationId xmlns:a16="http://schemas.microsoft.com/office/drawing/2014/main" id="{BCCBB6BF-DBB3-DA50-0FF0-3C55BEC8DE7C}"/>
            </a:ext>
          </a:extLst>
        </xdr:cNvPr>
        <xdr:cNvSpPr/>
      </xdr:nvSpPr>
      <xdr:spPr>
        <a:xfrm>
          <a:off x="4933361" y="99060"/>
          <a:ext cx="1791094" cy="84244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175260</xdr:colOff>
      <xdr:row>0</xdr:row>
      <xdr:rowOff>99060</xdr:rowOff>
    </xdr:from>
    <xdr:to>
      <xdr:col>14</xdr:col>
      <xdr:colOff>167640</xdr:colOff>
      <xdr:row>10</xdr:row>
      <xdr:rowOff>82642</xdr:rowOff>
    </xdr:to>
    <xdr:sp macro="" textlink="">
      <xdr:nvSpPr>
        <xdr:cNvPr id="4" name="Rectangle: Rounded Corners 3">
          <a:extLst>
            <a:ext uri="{FF2B5EF4-FFF2-40B4-BE49-F238E27FC236}">
              <a16:creationId xmlns:a16="http://schemas.microsoft.com/office/drawing/2014/main" id="{56A83086-0E59-5DB7-7CA9-E11F1C0F9F80}"/>
            </a:ext>
          </a:extLst>
        </xdr:cNvPr>
        <xdr:cNvSpPr/>
      </xdr:nvSpPr>
      <xdr:spPr>
        <a:xfrm>
          <a:off x="6880860" y="99060"/>
          <a:ext cx="1821180" cy="185166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358140</xdr:colOff>
      <xdr:row>0</xdr:row>
      <xdr:rowOff>99060</xdr:rowOff>
    </xdr:from>
    <xdr:to>
      <xdr:col>17</xdr:col>
      <xdr:colOff>350520</xdr:colOff>
      <xdr:row>10</xdr:row>
      <xdr:rowOff>82642</xdr:rowOff>
    </xdr:to>
    <xdr:sp macro="" textlink="">
      <xdr:nvSpPr>
        <xdr:cNvPr id="5" name="Rectangle: Rounded Corners 4">
          <a:extLst>
            <a:ext uri="{FF2B5EF4-FFF2-40B4-BE49-F238E27FC236}">
              <a16:creationId xmlns:a16="http://schemas.microsoft.com/office/drawing/2014/main" id="{91ECAC00-68FD-98B1-5F31-EDDD9A373C57}"/>
            </a:ext>
          </a:extLst>
        </xdr:cNvPr>
        <xdr:cNvSpPr/>
      </xdr:nvSpPr>
      <xdr:spPr>
        <a:xfrm>
          <a:off x="8892540" y="99060"/>
          <a:ext cx="1821180" cy="185166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83820</xdr:colOff>
      <xdr:row>5</xdr:row>
      <xdr:rowOff>125691</xdr:rowOff>
    </xdr:from>
    <xdr:to>
      <xdr:col>2</xdr:col>
      <xdr:colOff>45720</xdr:colOff>
      <xdr:row>27</xdr:row>
      <xdr:rowOff>149023</xdr:rowOff>
    </xdr:to>
    <xdr:sp macro="" textlink="">
      <xdr:nvSpPr>
        <xdr:cNvPr id="6" name="Rectangle: Rounded Corners 5">
          <a:extLst>
            <a:ext uri="{FF2B5EF4-FFF2-40B4-BE49-F238E27FC236}">
              <a16:creationId xmlns:a16="http://schemas.microsoft.com/office/drawing/2014/main" id="{D6C87890-72B8-01DC-EEDD-BDF569BC2FB7}"/>
            </a:ext>
          </a:extLst>
        </xdr:cNvPr>
        <xdr:cNvSpPr/>
      </xdr:nvSpPr>
      <xdr:spPr>
        <a:xfrm>
          <a:off x="83820" y="1068371"/>
          <a:ext cx="1187385" cy="399830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129540</xdr:colOff>
      <xdr:row>5</xdr:row>
      <xdr:rowOff>128362</xdr:rowOff>
    </xdr:from>
    <xdr:to>
      <xdr:col>4</xdr:col>
      <xdr:colOff>605549</xdr:colOff>
      <xdr:row>13</xdr:row>
      <xdr:rowOff>6441</xdr:rowOff>
    </xdr:to>
    <xdr:sp macro="" textlink="">
      <xdr:nvSpPr>
        <xdr:cNvPr id="7" name="Rectangle: Rounded Corners 6">
          <a:extLst>
            <a:ext uri="{FF2B5EF4-FFF2-40B4-BE49-F238E27FC236}">
              <a16:creationId xmlns:a16="http://schemas.microsoft.com/office/drawing/2014/main" id="{C64455A0-A5DA-E66F-E92F-40666A0A199F}"/>
            </a:ext>
          </a:extLst>
        </xdr:cNvPr>
        <xdr:cNvSpPr/>
      </xdr:nvSpPr>
      <xdr:spPr>
        <a:xfrm>
          <a:off x="1348740" y="1082040"/>
          <a:ext cx="1695209" cy="134112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117835</xdr:colOff>
      <xdr:row>5</xdr:row>
      <xdr:rowOff>128363</xdr:rowOff>
    </xdr:from>
    <xdr:to>
      <xdr:col>7</xdr:col>
      <xdr:colOff>607575</xdr:colOff>
      <xdr:row>12</xdr:row>
      <xdr:rowOff>172826</xdr:rowOff>
    </xdr:to>
    <xdr:sp macro="" textlink="">
      <xdr:nvSpPr>
        <xdr:cNvPr id="8" name="Rectangle: Rounded Corners 7">
          <a:extLst>
            <a:ext uri="{FF2B5EF4-FFF2-40B4-BE49-F238E27FC236}">
              <a16:creationId xmlns:a16="http://schemas.microsoft.com/office/drawing/2014/main" id="{10A0513D-1958-A2B4-945F-5457B48C2439}"/>
            </a:ext>
          </a:extLst>
        </xdr:cNvPr>
        <xdr:cNvSpPr/>
      </xdr:nvSpPr>
      <xdr:spPr>
        <a:xfrm>
          <a:off x="3181546" y="1071043"/>
          <a:ext cx="1715225" cy="130922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133591</xdr:colOff>
      <xdr:row>5</xdr:row>
      <xdr:rowOff>128362</xdr:rowOff>
    </xdr:from>
    <xdr:to>
      <xdr:col>11</xdr:col>
      <xdr:colOff>7856</xdr:colOff>
      <xdr:row>13</xdr:row>
      <xdr:rowOff>6441</xdr:rowOff>
    </xdr:to>
    <xdr:sp macro="" textlink="">
      <xdr:nvSpPr>
        <xdr:cNvPr id="9" name="Rectangle: Rounded Corners 8">
          <a:extLst>
            <a:ext uri="{FF2B5EF4-FFF2-40B4-BE49-F238E27FC236}">
              <a16:creationId xmlns:a16="http://schemas.microsoft.com/office/drawing/2014/main" id="{6C355E9B-E4C0-410D-662D-48099C29EE66}"/>
            </a:ext>
          </a:extLst>
        </xdr:cNvPr>
        <xdr:cNvSpPr/>
      </xdr:nvSpPr>
      <xdr:spPr>
        <a:xfrm>
          <a:off x="5035529" y="1071042"/>
          <a:ext cx="1712492" cy="132352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e</a:t>
          </a:r>
        </a:p>
      </xdr:txBody>
    </xdr:sp>
    <xdr:clientData/>
  </xdr:twoCellAnchor>
  <xdr:twoCellAnchor editAs="absolute">
    <xdr:from>
      <xdr:col>2</xdr:col>
      <xdr:colOff>149257</xdr:colOff>
      <xdr:row>18</xdr:row>
      <xdr:rowOff>14061</xdr:rowOff>
    </xdr:from>
    <xdr:to>
      <xdr:col>11</xdr:col>
      <xdr:colOff>54990</xdr:colOff>
      <xdr:row>27</xdr:row>
      <xdr:rowOff>172825</xdr:rowOff>
    </xdr:to>
    <xdr:sp macro="" textlink="">
      <xdr:nvSpPr>
        <xdr:cNvPr id="11" name="Rectangle: Rounded Corners 10">
          <a:extLst>
            <a:ext uri="{FF2B5EF4-FFF2-40B4-BE49-F238E27FC236}">
              <a16:creationId xmlns:a16="http://schemas.microsoft.com/office/drawing/2014/main" id="{530E60A4-B32A-F2EC-A3F2-D13CDC130F56}"/>
            </a:ext>
          </a:extLst>
        </xdr:cNvPr>
        <xdr:cNvSpPr/>
      </xdr:nvSpPr>
      <xdr:spPr>
        <a:xfrm>
          <a:off x="1374742" y="3305587"/>
          <a:ext cx="5420413" cy="178488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31423</xdr:colOff>
      <xdr:row>28</xdr:row>
      <xdr:rowOff>23567</xdr:rowOff>
    </xdr:from>
    <xdr:to>
      <xdr:col>18</xdr:col>
      <xdr:colOff>400639</xdr:colOff>
      <xdr:row>28</xdr:row>
      <xdr:rowOff>86412</xdr:rowOff>
    </xdr:to>
    <xdr:cxnSp macro="">
      <xdr:nvCxnSpPr>
        <xdr:cNvPr id="14" name="Straight Connector 13">
          <a:extLst>
            <a:ext uri="{FF2B5EF4-FFF2-40B4-BE49-F238E27FC236}">
              <a16:creationId xmlns:a16="http://schemas.microsoft.com/office/drawing/2014/main" id="{101A2B44-A59E-121B-D7B4-8DECF300559C}"/>
            </a:ext>
          </a:extLst>
        </xdr:cNvPr>
        <xdr:cNvCxnSpPr/>
      </xdr:nvCxnSpPr>
      <xdr:spPr>
        <a:xfrm flipV="1">
          <a:off x="31423" y="5082619"/>
          <a:ext cx="11398577" cy="6284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447773</xdr:colOff>
      <xdr:row>0</xdr:row>
      <xdr:rowOff>39278</xdr:rowOff>
    </xdr:from>
    <xdr:to>
      <xdr:col>17</xdr:col>
      <xdr:colOff>487051</xdr:colOff>
      <xdr:row>32</xdr:row>
      <xdr:rowOff>141402</xdr:rowOff>
    </xdr:to>
    <xdr:cxnSp macro="">
      <xdr:nvCxnSpPr>
        <xdr:cNvPr id="17" name="Straight Connector 16">
          <a:extLst>
            <a:ext uri="{FF2B5EF4-FFF2-40B4-BE49-F238E27FC236}">
              <a16:creationId xmlns:a16="http://schemas.microsoft.com/office/drawing/2014/main" id="{16769F53-5606-8B08-0150-4A59EA497815}"/>
            </a:ext>
          </a:extLst>
        </xdr:cNvPr>
        <xdr:cNvCxnSpPr/>
      </xdr:nvCxnSpPr>
      <xdr:spPr>
        <a:xfrm>
          <a:off x="10864392" y="39278"/>
          <a:ext cx="39278" cy="588389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11</xdr:col>
      <xdr:colOff>172825</xdr:colOff>
      <xdr:row>11</xdr:row>
      <xdr:rowOff>15713</xdr:rowOff>
    </xdr:from>
    <xdr:to>
      <xdr:col>17</xdr:col>
      <xdr:colOff>353505</xdr:colOff>
      <xdr:row>28</xdr:row>
      <xdr:rowOff>2</xdr:rowOff>
    </xdr:to>
    <xdr:sp macro="" textlink="">
      <xdr:nvSpPr>
        <xdr:cNvPr id="21" name="Rectangle: Rounded Corners 20">
          <a:extLst>
            <a:ext uri="{FF2B5EF4-FFF2-40B4-BE49-F238E27FC236}">
              <a16:creationId xmlns:a16="http://schemas.microsoft.com/office/drawing/2014/main" id="{7D3D751A-14E0-AD0D-819A-E33992DF50D0}"/>
            </a:ext>
          </a:extLst>
        </xdr:cNvPr>
        <xdr:cNvSpPr/>
      </xdr:nvSpPr>
      <xdr:spPr>
        <a:xfrm>
          <a:off x="6912990" y="2042476"/>
          <a:ext cx="3857134" cy="3055856"/>
        </a:xfrm>
        <a:prstGeom prst="roundRect">
          <a:avLst/>
        </a:prstGeom>
        <a:solidFill>
          <a:schemeClr val="bg1">
            <a:lumMod val="9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absolute">
    <xdr:from>
      <xdr:col>2</xdr:col>
      <xdr:colOff>78555</xdr:colOff>
      <xdr:row>1</xdr:row>
      <xdr:rowOff>70702</xdr:rowOff>
    </xdr:from>
    <xdr:to>
      <xdr:col>6</xdr:col>
      <xdr:colOff>597031</xdr:colOff>
      <xdr:row>3</xdr:row>
      <xdr:rowOff>78557</xdr:rowOff>
    </xdr:to>
    <xdr:sp macro="" textlink="">
      <xdr:nvSpPr>
        <xdr:cNvPr id="26" name="TextBox 25">
          <a:extLst>
            <a:ext uri="{FF2B5EF4-FFF2-40B4-BE49-F238E27FC236}">
              <a16:creationId xmlns:a16="http://schemas.microsoft.com/office/drawing/2014/main" id="{B693F33F-3A1F-A42D-6894-C33C017E2FA1}"/>
            </a:ext>
          </a:extLst>
        </xdr:cNvPr>
        <xdr:cNvSpPr txBox="1"/>
      </xdr:nvSpPr>
      <xdr:spPr>
        <a:xfrm>
          <a:off x="1304040" y="251382"/>
          <a:ext cx="2969445" cy="369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a:t> </a:t>
          </a:r>
          <a:r>
            <a:rPr lang="en-US" sz="1400"/>
            <a:t>Hospital Emergency</a:t>
          </a:r>
          <a:r>
            <a:rPr lang="en-US" sz="1400" baseline="0"/>
            <a:t> Room Dashboard</a:t>
          </a:r>
          <a:endParaRPr lang="en-US" sz="1400"/>
        </a:p>
      </xdr:txBody>
    </xdr:sp>
    <xdr:clientData/>
  </xdr:twoCellAnchor>
  <xdr:twoCellAnchor editAs="oneCell">
    <xdr:from>
      <xdr:col>0</xdr:col>
      <xdr:colOff>117834</xdr:colOff>
      <xdr:row>0</xdr:row>
      <xdr:rowOff>94268</xdr:rowOff>
    </xdr:from>
    <xdr:to>
      <xdr:col>1</xdr:col>
      <xdr:colOff>581319</xdr:colOff>
      <xdr:row>4</xdr:row>
      <xdr:rowOff>157113</xdr:rowOff>
    </xdr:to>
    <xdr:pic>
      <xdr:nvPicPr>
        <xdr:cNvPr id="28" name="Picture 27">
          <a:extLst>
            <a:ext uri="{FF2B5EF4-FFF2-40B4-BE49-F238E27FC236}">
              <a16:creationId xmlns:a16="http://schemas.microsoft.com/office/drawing/2014/main" id="{6F291A1F-E33B-C275-1200-1CACF02EC5F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677" t="4503" r="8792" b="11758"/>
        <a:stretch>
          <a:fillRect/>
        </a:stretch>
      </xdr:blipFill>
      <xdr:spPr>
        <a:xfrm>
          <a:off x="117834" y="94268"/>
          <a:ext cx="1076227" cy="824845"/>
        </a:xfrm>
        <a:prstGeom prst="rect">
          <a:avLst/>
        </a:prstGeom>
      </xdr:spPr>
    </xdr:pic>
    <xdr:clientData/>
  </xdr:twoCellAnchor>
  <xdr:twoCellAnchor editAs="absolute">
    <xdr:from>
      <xdr:col>2</xdr:col>
      <xdr:colOff>384928</xdr:colOff>
      <xdr:row>2</xdr:row>
      <xdr:rowOff>125690</xdr:rowOff>
    </xdr:from>
    <xdr:to>
      <xdr:col>6</xdr:col>
      <xdr:colOff>369217</xdr:colOff>
      <xdr:row>4</xdr:row>
      <xdr:rowOff>23567</xdr:rowOff>
    </xdr:to>
    <xdr:sp macro="" textlink="">
      <xdr:nvSpPr>
        <xdr:cNvPr id="29" name="TextBox 28">
          <a:extLst>
            <a:ext uri="{FF2B5EF4-FFF2-40B4-BE49-F238E27FC236}">
              <a16:creationId xmlns:a16="http://schemas.microsoft.com/office/drawing/2014/main" id="{C04B8951-43C5-659F-C262-F1F995D26E73}"/>
            </a:ext>
          </a:extLst>
        </xdr:cNvPr>
        <xdr:cNvSpPr txBox="1"/>
      </xdr:nvSpPr>
      <xdr:spPr>
        <a:xfrm>
          <a:off x="1610413" y="487051"/>
          <a:ext cx="2435258" cy="298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a:t> </a:t>
          </a:r>
          <a:r>
            <a:rPr lang="en-US" sz="1200"/>
            <a:t>Monthly</a:t>
          </a:r>
          <a:r>
            <a:rPr lang="en-US" sz="1200" baseline="0"/>
            <a:t> Report</a:t>
          </a:r>
          <a:endParaRPr lang="en-US" sz="1200"/>
        </a:p>
      </xdr:txBody>
    </xdr:sp>
    <xdr:clientData/>
  </xdr:twoCellAnchor>
  <xdr:twoCellAnchor editAs="absolute">
    <xdr:from>
      <xdr:col>2</xdr:col>
      <xdr:colOff>298516</xdr:colOff>
      <xdr:row>8</xdr:row>
      <xdr:rowOff>86412</xdr:rowOff>
    </xdr:from>
    <xdr:to>
      <xdr:col>4</xdr:col>
      <xdr:colOff>314227</xdr:colOff>
      <xdr:row>10</xdr:row>
      <xdr:rowOff>39279</xdr:rowOff>
    </xdr:to>
    <xdr:sp macro="" textlink="">
      <xdr:nvSpPr>
        <xdr:cNvPr id="30" name="TextBox 29">
          <a:extLst>
            <a:ext uri="{FF2B5EF4-FFF2-40B4-BE49-F238E27FC236}">
              <a16:creationId xmlns:a16="http://schemas.microsoft.com/office/drawing/2014/main" id="{7DC0B49A-F529-7CC3-87D6-10DCD23D2310}"/>
            </a:ext>
          </a:extLst>
        </xdr:cNvPr>
        <xdr:cNvSpPr txBox="1"/>
      </xdr:nvSpPr>
      <xdr:spPr>
        <a:xfrm>
          <a:off x="1524001" y="1571134"/>
          <a:ext cx="1241195" cy="314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No.</a:t>
          </a:r>
          <a:r>
            <a:rPr lang="en-US" sz="900" baseline="0"/>
            <a:t> Of Patient</a:t>
          </a:r>
        </a:p>
        <a:p>
          <a:pPr algn="ctr"/>
          <a:endParaRPr lang="en-US" sz="1400" baseline="0"/>
        </a:p>
        <a:p>
          <a:pPr algn="ctr"/>
          <a:endParaRPr lang="en-US" sz="1400"/>
        </a:p>
      </xdr:txBody>
    </xdr:sp>
    <xdr:clientData/>
  </xdr:twoCellAnchor>
  <xdr:twoCellAnchor editAs="absolute">
    <xdr:from>
      <xdr:col>4</xdr:col>
      <xdr:colOff>581321</xdr:colOff>
      <xdr:row>27</xdr:row>
      <xdr:rowOff>7856</xdr:rowOff>
    </xdr:from>
    <xdr:to>
      <xdr:col>8</xdr:col>
      <xdr:colOff>109980</xdr:colOff>
      <xdr:row>28</xdr:row>
      <xdr:rowOff>31423</xdr:rowOff>
    </xdr:to>
    <xdr:sp macro="" textlink="'Pivot Report'!A6">
      <xdr:nvSpPr>
        <xdr:cNvPr id="31" name="TextBox 30">
          <a:extLst>
            <a:ext uri="{FF2B5EF4-FFF2-40B4-BE49-F238E27FC236}">
              <a16:creationId xmlns:a16="http://schemas.microsoft.com/office/drawing/2014/main" id="{A33CA0E4-A843-CF75-86D9-2FE0E0B19A29}"/>
            </a:ext>
          </a:extLst>
        </xdr:cNvPr>
        <xdr:cNvSpPr txBox="1"/>
      </xdr:nvSpPr>
      <xdr:spPr>
        <a:xfrm>
          <a:off x="3032290" y="4925505"/>
          <a:ext cx="1979628" cy="204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a:t>No.</a:t>
          </a:r>
          <a:r>
            <a:rPr lang="en-US" sz="1050" baseline="0"/>
            <a:t> of patient by Age group group</a:t>
          </a:r>
          <a:endParaRPr lang="en-US" sz="1050"/>
        </a:p>
      </xdr:txBody>
    </xdr:sp>
    <xdr:clientData/>
  </xdr:twoCellAnchor>
  <xdr:twoCellAnchor editAs="absolute">
    <xdr:from>
      <xdr:col>5</xdr:col>
      <xdr:colOff>369217</xdr:colOff>
      <xdr:row>8</xdr:row>
      <xdr:rowOff>86412</xdr:rowOff>
    </xdr:from>
    <xdr:to>
      <xdr:col>7</xdr:col>
      <xdr:colOff>416351</xdr:colOff>
      <xdr:row>10</xdr:row>
      <xdr:rowOff>39279</xdr:rowOff>
    </xdr:to>
    <xdr:sp macro="" textlink="">
      <xdr:nvSpPr>
        <xdr:cNvPr id="32" name="TextBox 31">
          <a:extLst>
            <a:ext uri="{FF2B5EF4-FFF2-40B4-BE49-F238E27FC236}">
              <a16:creationId xmlns:a16="http://schemas.microsoft.com/office/drawing/2014/main" id="{B0463FE5-D64E-A3E7-34CA-387F4C551806}"/>
            </a:ext>
          </a:extLst>
        </xdr:cNvPr>
        <xdr:cNvSpPr txBox="1"/>
      </xdr:nvSpPr>
      <xdr:spPr>
        <a:xfrm>
          <a:off x="3432928" y="1571134"/>
          <a:ext cx="1272619" cy="314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aseline="0"/>
            <a:t>Average </a:t>
          </a:r>
          <a:r>
            <a:rPr lang="en-US" sz="1050" baseline="0"/>
            <a:t>wait</a:t>
          </a:r>
          <a:r>
            <a:rPr lang="en-US" sz="900" baseline="0"/>
            <a:t> time</a:t>
          </a:r>
        </a:p>
        <a:p>
          <a:pPr algn="ctr"/>
          <a:endParaRPr lang="en-US" sz="1400" baseline="0"/>
        </a:p>
        <a:p>
          <a:pPr algn="ctr"/>
          <a:endParaRPr lang="en-US" sz="1400"/>
        </a:p>
      </xdr:txBody>
    </xdr:sp>
    <xdr:clientData/>
  </xdr:twoCellAnchor>
  <xdr:twoCellAnchor editAs="absolute">
    <xdr:from>
      <xdr:col>5</xdr:col>
      <xdr:colOff>408495</xdr:colOff>
      <xdr:row>6</xdr:row>
      <xdr:rowOff>172825</xdr:rowOff>
    </xdr:from>
    <xdr:to>
      <xdr:col>7</xdr:col>
      <xdr:colOff>455629</xdr:colOff>
      <xdr:row>8</xdr:row>
      <xdr:rowOff>94268</xdr:rowOff>
    </xdr:to>
    <xdr:sp macro="" textlink="'Pivot Report'!A13">
      <xdr:nvSpPr>
        <xdr:cNvPr id="33" name="TextBox 32">
          <a:extLst>
            <a:ext uri="{FF2B5EF4-FFF2-40B4-BE49-F238E27FC236}">
              <a16:creationId xmlns:a16="http://schemas.microsoft.com/office/drawing/2014/main" id="{3230069A-EEC6-8660-3F1D-C7C3F2AD005A}"/>
            </a:ext>
          </a:extLst>
        </xdr:cNvPr>
        <xdr:cNvSpPr txBox="1"/>
      </xdr:nvSpPr>
      <xdr:spPr>
        <a:xfrm>
          <a:off x="3472206" y="1296186"/>
          <a:ext cx="1272619"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077F042-C601-4D7B-B99C-456115E6CAD2}" type="TxLink">
            <a:rPr lang="en-US" sz="1200" b="0" i="0" u="none" strike="noStrike">
              <a:solidFill>
                <a:srgbClr val="000000"/>
              </a:solidFill>
              <a:latin typeface="Aptos Narrow"/>
            </a:rPr>
            <a:t>35.11</a:t>
          </a:fld>
          <a:endParaRPr lang="en-US" sz="1200"/>
        </a:p>
      </xdr:txBody>
    </xdr:sp>
    <xdr:clientData/>
  </xdr:twoCellAnchor>
  <xdr:twoCellAnchor editAs="absolute">
    <xdr:from>
      <xdr:col>8</xdr:col>
      <xdr:colOff>337794</xdr:colOff>
      <xdr:row>8</xdr:row>
      <xdr:rowOff>86412</xdr:rowOff>
    </xdr:from>
    <xdr:to>
      <xdr:col>10</xdr:col>
      <xdr:colOff>384928</xdr:colOff>
      <xdr:row>10</xdr:row>
      <xdr:rowOff>39279</xdr:rowOff>
    </xdr:to>
    <xdr:sp macro="" textlink="">
      <xdr:nvSpPr>
        <xdr:cNvPr id="34" name="TextBox 33">
          <a:extLst>
            <a:ext uri="{FF2B5EF4-FFF2-40B4-BE49-F238E27FC236}">
              <a16:creationId xmlns:a16="http://schemas.microsoft.com/office/drawing/2014/main" id="{8B0FC9D2-576A-FBB7-2C4D-48B8487E78E3}"/>
            </a:ext>
          </a:extLst>
        </xdr:cNvPr>
        <xdr:cNvSpPr txBox="1"/>
      </xdr:nvSpPr>
      <xdr:spPr>
        <a:xfrm>
          <a:off x="5239732" y="1571134"/>
          <a:ext cx="1272619" cy="314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aseline="0"/>
            <a:t> Patient </a:t>
          </a:r>
          <a:r>
            <a:rPr lang="en-US" sz="1050" baseline="0"/>
            <a:t>Satisfaction</a:t>
          </a:r>
          <a:r>
            <a:rPr lang="en-US" sz="900" baseline="0"/>
            <a:t> Score</a:t>
          </a:r>
        </a:p>
        <a:p>
          <a:pPr algn="ctr"/>
          <a:endParaRPr lang="en-US" sz="1400" baseline="0"/>
        </a:p>
        <a:p>
          <a:pPr algn="ctr"/>
          <a:endParaRPr lang="en-US" sz="1400"/>
        </a:p>
      </xdr:txBody>
    </xdr:sp>
    <xdr:clientData/>
  </xdr:twoCellAnchor>
  <xdr:twoCellAnchor editAs="absolute">
    <xdr:from>
      <xdr:col>8</xdr:col>
      <xdr:colOff>377072</xdr:colOff>
      <xdr:row>6</xdr:row>
      <xdr:rowOff>172825</xdr:rowOff>
    </xdr:from>
    <xdr:to>
      <xdr:col>10</xdr:col>
      <xdr:colOff>424206</xdr:colOff>
      <xdr:row>8</xdr:row>
      <xdr:rowOff>94268</xdr:rowOff>
    </xdr:to>
    <xdr:sp macro="" textlink="'Pivot Report'!A20">
      <xdr:nvSpPr>
        <xdr:cNvPr id="35" name="TextBox 34">
          <a:extLst>
            <a:ext uri="{FF2B5EF4-FFF2-40B4-BE49-F238E27FC236}">
              <a16:creationId xmlns:a16="http://schemas.microsoft.com/office/drawing/2014/main" id="{4A8522E2-78BE-15C2-8B27-8B679C5E74F5}"/>
            </a:ext>
          </a:extLst>
        </xdr:cNvPr>
        <xdr:cNvSpPr txBox="1"/>
      </xdr:nvSpPr>
      <xdr:spPr>
        <a:xfrm>
          <a:off x="5279010" y="1296186"/>
          <a:ext cx="1272619"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4183CEB-24D5-47C3-A648-8F71ACD7C77B}" type="TxLink">
            <a:rPr lang="en-US" sz="1200" b="0" i="0" u="none" strike="noStrike">
              <a:solidFill>
                <a:srgbClr val="000000"/>
              </a:solidFill>
              <a:latin typeface="Aptos Narrow"/>
            </a:rPr>
            <a:t>5.18</a:t>
          </a:fld>
          <a:endParaRPr lang="en-US" sz="1200"/>
        </a:p>
      </xdr:txBody>
    </xdr:sp>
    <xdr:clientData/>
  </xdr:twoCellAnchor>
  <xdr:twoCellAnchor editAs="oneCell">
    <xdr:from>
      <xdr:col>2</xdr:col>
      <xdr:colOff>164968</xdr:colOff>
      <xdr:row>6</xdr:row>
      <xdr:rowOff>141402</xdr:rowOff>
    </xdr:from>
    <xdr:to>
      <xdr:col>2</xdr:col>
      <xdr:colOff>518474</xdr:colOff>
      <xdr:row>8</xdr:row>
      <xdr:rowOff>133547</xdr:rowOff>
    </xdr:to>
    <xdr:pic>
      <xdr:nvPicPr>
        <xdr:cNvPr id="37" name="Graphic 36" descr="Male profile with solid fill">
          <a:extLst>
            <a:ext uri="{FF2B5EF4-FFF2-40B4-BE49-F238E27FC236}">
              <a16:creationId xmlns:a16="http://schemas.microsoft.com/office/drawing/2014/main" id="{3497C170-7500-CC77-2230-F3C95D0FABC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90453" y="1264763"/>
          <a:ext cx="353506" cy="353506"/>
        </a:xfrm>
        <a:prstGeom prst="rect">
          <a:avLst/>
        </a:prstGeom>
      </xdr:spPr>
    </xdr:pic>
    <xdr:clientData/>
  </xdr:twoCellAnchor>
  <xdr:twoCellAnchor editAs="oneCell">
    <xdr:from>
      <xdr:col>8</xdr:col>
      <xdr:colOff>212103</xdr:colOff>
      <xdr:row>6</xdr:row>
      <xdr:rowOff>109979</xdr:rowOff>
    </xdr:from>
    <xdr:to>
      <xdr:col>9</xdr:col>
      <xdr:colOff>31422</xdr:colOff>
      <xdr:row>8</xdr:row>
      <xdr:rowOff>133546</xdr:rowOff>
    </xdr:to>
    <xdr:pic>
      <xdr:nvPicPr>
        <xdr:cNvPr id="39" name="Graphic 38" descr="Rating with solid fill">
          <a:extLst>
            <a:ext uri="{FF2B5EF4-FFF2-40B4-BE49-F238E27FC236}">
              <a16:creationId xmlns:a16="http://schemas.microsoft.com/office/drawing/2014/main" id="{7D2B7567-A9AF-5C91-F81C-0FB1FF72BE8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114041" y="1233340"/>
          <a:ext cx="432061" cy="384928"/>
        </a:xfrm>
        <a:prstGeom prst="rect">
          <a:avLst/>
        </a:prstGeom>
      </xdr:spPr>
    </xdr:pic>
    <xdr:clientData/>
  </xdr:twoCellAnchor>
  <xdr:twoCellAnchor editAs="oneCell">
    <xdr:from>
      <xdr:col>5</xdr:col>
      <xdr:colOff>204247</xdr:colOff>
      <xdr:row>6</xdr:row>
      <xdr:rowOff>149255</xdr:rowOff>
    </xdr:from>
    <xdr:to>
      <xdr:col>5</xdr:col>
      <xdr:colOff>518476</xdr:colOff>
      <xdr:row>8</xdr:row>
      <xdr:rowOff>102123</xdr:rowOff>
    </xdr:to>
    <xdr:pic>
      <xdr:nvPicPr>
        <xdr:cNvPr id="41" name="Graphic 40" descr="Hourglass Full with solid fill">
          <a:extLst>
            <a:ext uri="{FF2B5EF4-FFF2-40B4-BE49-F238E27FC236}">
              <a16:creationId xmlns:a16="http://schemas.microsoft.com/office/drawing/2014/main" id="{AD378073-6EC0-84E6-15E8-DFD5DD008EE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67958" y="1272616"/>
          <a:ext cx="314229" cy="314229"/>
        </a:xfrm>
        <a:prstGeom prst="rect">
          <a:avLst/>
        </a:prstGeom>
      </xdr:spPr>
    </xdr:pic>
    <xdr:clientData/>
  </xdr:twoCellAnchor>
  <xdr:twoCellAnchor editAs="oneCell">
    <xdr:from>
      <xdr:col>0</xdr:col>
      <xdr:colOff>157113</xdr:colOff>
      <xdr:row>6</xdr:row>
      <xdr:rowOff>0</xdr:rowOff>
    </xdr:from>
    <xdr:to>
      <xdr:col>1</xdr:col>
      <xdr:colOff>557753</xdr:colOff>
      <xdr:row>27</xdr:row>
      <xdr:rowOff>78557</xdr:rowOff>
    </xdr:to>
    <mc:AlternateContent xmlns:mc="http://schemas.openxmlformats.org/markup-compatibility/2006">
      <mc:Choice xmlns:a14="http://schemas.microsoft.com/office/drawing/2010/main" Requires="a14">
        <xdr:graphicFrame macro="">
          <xdr:nvGraphicFramePr>
            <xdr:cNvPr id="42" name="Date (Month) 1">
              <a:extLst>
                <a:ext uri="{FF2B5EF4-FFF2-40B4-BE49-F238E27FC236}">
                  <a16:creationId xmlns:a16="http://schemas.microsoft.com/office/drawing/2014/main" id="{DEF6CB49-3186-436D-BD4B-22BB4006E6ED}"/>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157113" y="1123361"/>
              <a:ext cx="1013382" cy="3872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109978</xdr:colOff>
      <xdr:row>8</xdr:row>
      <xdr:rowOff>39278</xdr:rowOff>
    </xdr:from>
    <xdr:to>
      <xdr:col>5</xdr:col>
      <xdr:colOff>54990</xdr:colOff>
      <xdr:row>13</xdr:row>
      <xdr:rowOff>86058</xdr:rowOff>
    </xdr:to>
    <xdr:graphicFrame macro="">
      <xdr:nvGraphicFramePr>
        <xdr:cNvPr id="44" name="Chart 43">
          <a:hlinkClick xmlns:r="http://schemas.openxmlformats.org/officeDocument/2006/relationships" r:id="rId8"/>
          <a:extLst>
            <a:ext uri="{FF2B5EF4-FFF2-40B4-BE49-F238E27FC236}">
              <a16:creationId xmlns:a16="http://schemas.microsoft.com/office/drawing/2014/main" id="{8C3CFA4B-F39D-438B-9A4E-36F6716F2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149259</xdr:colOff>
      <xdr:row>8</xdr:row>
      <xdr:rowOff>149256</xdr:rowOff>
    </xdr:from>
    <xdr:to>
      <xdr:col>7</xdr:col>
      <xdr:colOff>573464</xdr:colOff>
      <xdr:row>13</xdr:row>
      <xdr:rowOff>39277</xdr:rowOff>
    </xdr:to>
    <xdr:graphicFrame macro="">
      <xdr:nvGraphicFramePr>
        <xdr:cNvPr id="46" name="Chart 45">
          <a:hlinkClick xmlns:r="http://schemas.openxmlformats.org/officeDocument/2006/relationships" r:id="rId10"/>
          <a:extLst>
            <a:ext uri="{FF2B5EF4-FFF2-40B4-BE49-F238E27FC236}">
              <a16:creationId xmlns:a16="http://schemas.microsoft.com/office/drawing/2014/main" id="{A97079D2-2D41-44A1-8FB1-04590F50F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125692</xdr:colOff>
      <xdr:row>9</xdr:row>
      <xdr:rowOff>39278</xdr:rowOff>
    </xdr:from>
    <xdr:to>
      <xdr:col>11</xdr:col>
      <xdr:colOff>1</xdr:colOff>
      <xdr:row>13</xdr:row>
      <xdr:rowOff>0</xdr:rowOff>
    </xdr:to>
    <xdr:graphicFrame macro="">
      <xdr:nvGraphicFramePr>
        <xdr:cNvPr id="47" name="Chart 46">
          <a:hlinkClick xmlns:r="http://schemas.openxmlformats.org/officeDocument/2006/relationships" r:id="rId12"/>
          <a:extLst>
            <a:ext uri="{FF2B5EF4-FFF2-40B4-BE49-F238E27FC236}">
              <a16:creationId xmlns:a16="http://schemas.microsoft.com/office/drawing/2014/main" id="{504D6CDC-A2CD-436E-9FD3-931AD2E7F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133545</xdr:colOff>
          <xdr:row>13</xdr:row>
          <xdr:rowOff>62845</xdr:rowOff>
        </xdr:from>
        <xdr:to>
          <xdr:col>10</xdr:col>
          <xdr:colOff>604886</xdr:colOff>
          <xdr:row>17</xdr:row>
          <xdr:rowOff>96619</xdr:rowOff>
        </xdr:to>
        <xdr:pic>
          <xdr:nvPicPr>
            <xdr:cNvPr id="57" name="Picture 56">
              <a:extLst>
                <a:ext uri="{FF2B5EF4-FFF2-40B4-BE49-F238E27FC236}">
                  <a16:creationId xmlns:a16="http://schemas.microsoft.com/office/drawing/2014/main" id="{7EC6A619-2125-B184-FEB4-B8F6FE83B487}"/>
                </a:ext>
              </a:extLst>
            </xdr:cNvPr>
            <xdr:cNvPicPr>
              <a:picLocks noChangeAspect="1" noChangeArrowheads="1"/>
              <a:extLst>
                <a:ext uri="{84589F7E-364E-4C9E-8A38-B11213B215E9}">
                  <a14:cameraTool cellRange="'Pivot Report'!$A$32:$D$34" spid="_x0000_s2067"/>
                </a:ext>
              </a:extLst>
            </xdr:cNvPicPr>
          </xdr:nvPicPr>
          <xdr:blipFill>
            <a:blip xmlns:r="http://schemas.openxmlformats.org/officeDocument/2006/relationships" r:embed="rId14"/>
            <a:srcRect/>
            <a:stretch>
              <a:fillRect/>
            </a:stretch>
          </xdr:blipFill>
          <xdr:spPr bwMode="auto">
            <a:xfrm>
              <a:off x="1359030" y="2450969"/>
              <a:ext cx="5373279" cy="75649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235670</xdr:colOff>
      <xdr:row>17</xdr:row>
      <xdr:rowOff>125692</xdr:rowOff>
    </xdr:from>
    <xdr:to>
      <xdr:col>11</xdr:col>
      <xdr:colOff>70702</xdr:colOff>
      <xdr:row>26</xdr:row>
      <xdr:rowOff>157114</xdr:rowOff>
    </xdr:to>
    <xdr:graphicFrame macro="">
      <xdr:nvGraphicFramePr>
        <xdr:cNvPr id="58" name="Chart 57">
          <a:extLst>
            <a:ext uri="{FF2B5EF4-FFF2-40B4-BE49-F238E27FC236}">
              <a16:creationId xmlns:a16="http://schemas.microsoft.com/office/drawing/2014/main" id="{0DCAF56A-83C0-4AEF-A3CD-AA8C9D496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235670</xdr:colOff>
      <xdr:row>0</xdr:row>
      <xdr:rowOff>133546</xdr:rowOff>
    </xdr:from>
    <xdr:to>
      <xdr:col>14</xdr:col>
      <xdr:colOff>125690</xdr:colOff>
      <xdr:row>10</xdr:row>
      <xdr:rowOff>78557</xdr:rowOff>
    </xdr:to>
    <xdr:graphicFrame macro="">
      <xdr:nvGraphicFramePr>
        <xdr:cNvPr id="61" name="Chart 60">
          <a:extLst>
            <a:ext uri="{FF2B5EF4-FFF2-40B4-BE49-F238E27FC236}">
              <a16:creationId xmlns:a16="http://schemas.microsoft.com/office/drawing/2014/main" id="{8C07B9B6-D758-41C5-B61F-1650EBB53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455629</xdr:colOff>
      <xdr:row>0</xdr:row>
      <xdr:rowOff>125691</xdr:rowOff>
    </xdr:from>
    <xdr:to>
      <xdr:col>17</xdr:col>
      <xdr:colOff>243525</xdr:colOff>
      <xdr:row>10</xdr:row>
      <xdr:rowOff>23567</xdr:rowOff>
    </xdr:to>
    <xdr:graphicFrame macro="">
      <xdr:nvGraphicFramePr>
        <xdr:cNvPr id="63" name="Chart 62">
          <a:extLst>
            <a:ext uri="{FF2B5EF4-FFF2-40B4-BE49-F238E27FC236}">
              <a16:creationId xmlns:a16="http://schemas.microsoft.com/office/drawing/2014/main" id="{DCC404FC-5790-4FF5-B780-644187AA2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14</xdr:col>
      <xdr:colOff>597031</xdr:colOff>
      <xdr:row>9</xdr:row>
      <xdr:rowOff>47133</xdr:rowOff>
    </xdr:from>
    <xdr:ext cx="1469010" cy="227815"/>
    <xdr:sp macro="" textlink="">
      <xdr:nvSpPr>
        <xdr:cNvPr id="65" name="TextBox 64">
          <a:extLst>
            <a:ext uri="{FF2B5EF4-FFF2-40B4-BE49-F238E27FC236}">
              <a16:creationId xmlns:a16="http://schemas.microsoft.com/office/drawing/2014/main" id="{179C0DE4-A6B7-D602-BE2D-045D4DC1F0D2}"/>
            </a:ext>
          </a:extLst>
        </xdr:cNvPr>
        <xdr:cNvSpPr txBox="1"/>
      </xdr:nvSpPr>
      <xdr:spPr>
        <a:xfrm>
          <a:off x="9175423" y="1712535"/>
          <a:ext cx="1469010" cy="227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Gender wise  Analysis</a:t>
          </a:r>
        </a:p>
      </xdr:txBody>
    </xdr:sp>
    <xdr:clientData/>
  </xdr:oneCellAnchor>
  <xdr:twoCellAnchor>
    <xdr:from>
      <xdr:col>11</xdr:col>
      <xdr:colOff>384928</xdr:colOff>
      <xdr:row>11</xdr:row>
      <xdr:rowOff>62845</xdr:rowOff>
    </xdr:from>
    <xdr:to>
      <xdr:col>17</xdr:col>
      <xdr:colOff>235670</xdr:colOff>
      <xdr:row>26</xdr:row>
      <xdr:rowOff>141402</xdr:rowOff>
    </xdr:to>
    <xdr:graphicFrame macro="">
      <xdr:nvGraphicFramePr>
        <xdr:cNvPr id="66" name="Chart 65">
          <a:extLst>
            <a:ext uri="{FF2B5EF4-FFF2-40B4-BE49-F238E27FC236}">
              <a16:creationId xmlns:a16="http://schemas.microsoft.com/office/drawing/2014/main" id="{48EEC09B-33B0-4A99-B967-FC854CA95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8</xdr:col>
      <xdr:colOff>117836</xdr:colOff>
      <xdr:row>1</xdr:row>
      <xdr:rowOff>102124</xdr:rowOff>
    </xdr:from>
    <xdr:to>
      <xdr:col>10</xdr:col>
      <xdr:colOff>555417</xdr:colOff>
      <xdr:row>3</xdr:row>
      <xdr:rowOff>212104</xdr:rowOff>
    </xdr:to>
    <mc:AlternateContent xmlns:mc="http://schemas.openxmlformats.org/markup-compatibility/2006">
      <mc:Choice xmlns:a14="http://schemas.microsoft.com/office/drawing/2010/main" Requires="a14">
        <xdr:graphicFrame macro="">
          <xdr:nvGraphicFramePr>
            <xdr:cNvPr id="71" name="Date (Year) 1">
              <a:extLst>
                <a:ext uri="{FF2B5EF4-FFF2-40B4-BE49-F238E27FC236}">
                  <a16:creationId xmlns:a16="http://schemas.microsoft.com/office/drawing/2014/main" id="{4744EC0D-80A3-4236-80B3-90DA78C3CEE5}"/>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5019774" y="282804"/>
              <a:ext cx="1663066" cy="471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204248</xdr:colOff>
      <xdr:row>26</xdr:row>
      <xdr:rowOff>125691</xdr:rowOff>
    </xdr:from>
    <xdr:to>
      <xdr:col>16</xdr:col>
      <xdr:colOff>345651</xdr:colOff>
      <xdr:row>27</xdr:row>
      <xdr:rowOff>157114</xdr:rowOff>
    </xdr:to>
    <xdr:sp macro="" textlink="">
      <xdr:nvSpPr>
        <xdr:cNvPr id="72" name="TextBox 71">
          <a:extLst>
            <a:ext uri="{FF2B5EF4-FFF2-40B4-BE49-F238E27FC236}">
              <a16:creationId xmlns:a16="http://schemas.microsoft.com/office/drawing/2014/main" id="{9D39D352-CA84-15A3-A372-F22448B0C824}"/>
            </a:ext>
          </a:extLst>
        </xdr:cNvPr>
        <xdr:cNvSpPr txBox="1"/>
      </xdr:nvSpPr>
      <xdr:spPr>
        <a:xfrm>
          <a:off x="7557155" y="4862660"/>
          <a:ext cx="2592372" cy="212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                No.of</a:t>
          </a:r>
          <a:r>
            <a:rPr lang="en-US" sz="1100" baseline="0">
              <a:solidFill>
                <a:schemeClr val="dk1"/>
              </a:solidFill>
              <a:effectLst/>
              <a:latin typeface="+mn-lt"/>
              <a:ea typeface="+mn-ea"/>
              <a:cs typeface="+mn-cs"/>
            </a:rPr>
            <a:t> Patient by department </a:t>
          </a:r>
          <a:endParaRPr lang="en-US"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0.87719</cdr:y>
    </cdr:from>
    <cdr:to>
      <cdr:x>1</cdr:x>
      <cdr:y>0.98246</cdr:y>
    </cdr:to>
    <cdr:sp macro="" textlink="">
      <cdr:nvSpPr>
        <cdr:cNvPr id="2" name="TextBox 30">
          <a:extLst xmlns:a="http://schemas.openxmlformats.org/drawingml/2006/main">
            <a:ext uri="{FF2B5EF4-FFF2-40B4-BE49-F238E27FC236}">
              <a16:creationId xmlns:a16="http://schemas.microsoft.com/office/drawing/2014/main" id="{A33CA0E4-A843-CF75-86D9-2FE0E0B19A29}"/>
            </a:ext>
          </a:extLst>
        </cdr:cNvPr>
        <cdr:cNvSpPr txBox="1"/>
      </cdr:nvSpPr>
      <cdr:spPr>
        <a:xfrm xmlns:a="http://schemas.openxmlformats.org/drawingml/2006/main">
          <a:off x="0" y="1571133"/>
          <a:ext cx="1728247" cy="18853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050" baseline="0"/>
            <a:t> Patient Attend Status </a:t>
          </a:r>
          <a:endParaRPr lang="en-US" sz="105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53340</xdr:colOff>
      <xdr:row>0</xdr:row>
      <xdr:rowOff>99060</xdr:rowOff>
    </xdr:from>
    <xdr:to>
      <xdr:col>16</xdr:col>
      <xdr:colOff>358140</xdr:colOff>
      <xdr:row>23</xdr:row>
      <xdr:rowOff>15240</xdr:rowOff>
    </xdr:to>
    <xdr:graphicFrame macro="">
      <xdr:nvGraphicFramePr>
        <xdr:cNvPr id="2" name="Chart 1">
          <a:extLst>
            <a:ext uri="{FF2B5EF4-FFF2-40B4-BE49-F238E27FC236}">
              <a16:creationId xmlns:a16="http://schemas.microsoft.com/office/drawing/2014/main" id="{63381733-6569-44B5-9D4B-620883A8F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236220</xdr:colOff>
      <xdr:row>23</xdr:row>
      <xdr:rowOff>60960</xdr:rowOff>
    </xdr:from>
    <xdr:ext cx="7078980" cy="264560"/>
    <xdr:sp macro="" textlink="">
      <xdr:nvSpPr>
        <xdr:cNvPr id="3" name="TextBox 2">
          <a:extLst>
            <a:ext uri="{FF2B5EF4-FFF2-40B4-BE49-F238E27FC236}">
              <a16:creationId xmlns:a16="http://schemas.microsoft.com/office/drawing/2014/main" id="{D2BFBBB7-CEE6-3F18-19B7-4E2248EF12CD}"/>
            </a:ext>
          </a:extLst>
        </xdr:cNvPr>
        <xdr:cNvSpPr txBox="1"/>
      </xdr:nvSpPr>
      <xdr:spPr>
        <a:xfrm>
          <a:off x="236220" y="4267200"/>
          <a:ext cx="70789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Use an area chart</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to show trends,</a:t>
          </a:r>
          <a:r>
            <a:rPr lang="en-US" sz="1100" baseline="0">
              <a:solidFill>
                <a:schemeClr val="tx1"/>
              </a:solidFill>
              <a:effectLst/>
              <a:latin typeface="+mn-lt"/>
              <a:ea typeface="+mn-ea"/>
              <a:cs typeface="+mn-cs"/>
            </a:rPr>
            <a:t> spot drops in satisfaction, and link them to busy times or challenges</a:t>
          </a:r>
          <a:endParaRPr lang="en-US" sz="1100"/>
        </a:p>
      </xdr:txBody>
    </xdr:sp>
    <xdr:clientData/>
  </xdr:oneCellAnchor>
  <xdr:twoCellAnchor editAs="oneCell">
    <xdr:from>
      <xdr:col>0</xdr:col>
      <xdr:colOff>38100</xdr:colOff>
      <xdr:row>0</xdr:row>
      <xdr:rowOff>99060</xdr:rowOff>
    </xdr:from>
    <xdr:to>
      <xdr:col>0</xdr:col>
      <xdr:colOff>403860</xdr:colOff>
      <xdr:row>2</xdr:row>
      <xdr:rowOff>99060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5A329CF6-FA52-5074-DCE5-DE15E486AA9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99060"/>
          <a:ext cx="365760" cy="3657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114300</xdr:colOff>
      <xdr:row>0</xdr:row>
      <xdr:rowOff>167640</xdr:rowOff>
    </xdr:from>
    <xdr:to>
      <xdr:col>17</xdr:col>
      <xdr:colOff>350520</xdr:colOff>
      <xdr:row>25</xdr:row>
      <xdr:rowOff>0</xdr:rowOff>
    </xdr:to>
    <xdr:graphicFrame macro="">
      <xdr:nvGraphicFramePr>
        <xdr:cNvPr id="2" name="Chart 1">
          <a:extLst>
            <a:ext uri="{FF2B5EF4-FFF2-40B4-BE49-F238E27FC236}">
              <a16:creationId xmlns:a16="http://schemas.microsoft.com/office/drawing/2014/main" id="{8FAD7F88-C25D-4885-B154-04E2979C8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358140</xdr:colOff>
      <xdr:row>25</xdr:row>
      <xdr:rowOff>60960</xdr:rowOff>
    </xdr:from>
    <xdr:ext cx="8846820" cy="280205"/>
    <xdr:sp macro="" textlink="">
      <xdr:nvSpPr>
        <xdr:cNvPr id="3" name="TextBox 2">
          <a:extLst>
            <a:ext uri="{FF2B5EF4-FFF2-40B4-BE49-F238E27FC236}">
              <a16:creationId xmlns:a16="http://schemas.microsoft.com/office/drawing/2014/main" id="{573E191A-30C7-83F5-A9E5-7C8D9712CBAF}"/>
            </a:ext>
          </a:extLst>
        </xdr:cNvPr>
        <xdr:cNvSpPr txBox="1"/>
      </xdr:nvSpPr>
      <xdr:spPr>
        <a:xfrm>
          <a:off x="358140" y="4632960"/>
          <a:ext cx="884682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Use an area sparkling to track daily changes and highlight days with longer wait times that might</a:t>
          </a:r>
          <a:r>
            <a:rPr lang="en-US" sz="1200" baseline="0"/>
            <a:t> need improvements</a:t>
          </a:r>
          <a:endParaRPr lang="en-US" sz="1200"/>
        </a:p>
      </xdr:txBody>
    </xdr:sp>
    <xdr:clientData/>
  </xdr:oneCellAnchor>
  <xdr:twoCellAnchor editAs="oneCell">
    <xdr:from>
      <xdr:col>0</xdr:col>
      <xdr:colOff>106680</xdr:colOff>
      <xdr:row>0</xdr:row>
      <xdr:rowOff>129540</xdr:rowOff>
    </xdr:from>
    <xdr:to>
      <xdr:col>0</xdr:col>
      <xdr:colOff>563880</xdr:colOff>
      <xdr:row>3</xdr:row>
      <xdr:rowOff>38100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F483CFFA-FA9C-5CA9-03B8-AC763C60528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6680" y="129540"/>
          <a:ext cx="457200"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106680</xdr:rowOff>
    </xdr:from>
    <xdr:to>
      <xdr:col>17</xdr:col>
      <xdr:colOff>480060</xdr:colOff>
      <xdr:row>25</xdr:row>
      <xdr:rowOff>53340</xdr:rowOff>
    </xdr:to>
    <xdr:graphicFrame macro="">
      <xdr:nvGraphicFramePr>
        <xdr:cNvPr id="3" name="Chart 2">
          <a:extLst>
            <a:ext uri="{FF2B5EF4-FFF2-40B4-BE49-F238E27FC236}">
              <a16:creationId xmlns:a16="http://schemas.microsoft.com/office/drawing/2014/main" id="{840D2AA1-6558-47F1-93A9-B21FDBAAF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373380</xdr:colOff>
      <xdr:row>25</xdr:row>
      <xdr:rowOff>99060</xdr:rowOff>
    </xdr:from>
    <xdr:ext cx="7620000" cy="280205"/>
    <xdr:sp macro="" textlink="">
      <xdr:nvSpPr>
        <xdr:cNvPr id="4" name="TextBox 3">
          <a:extLst>
            <a:ext uri="{FF2B5EF4-FFF2-40B4-BE49-F238E27FC236}">
              <a16:creationId xmlns:a16="http://schemas.microsoft.com/office/drawing/2014/main" id="{67CB28C6-363B-FAE6-B9B1-1D04EB6180D6}"/>
            </a:ext>
          </a:extLst>
        </xdr:cNvPr>
        <xdr:cNvSpPr txBox="1"/>
      </xdr:nvSpPr>
      <xdr:spPr>
        <a:xfrm>
          <a:off x="373380" y="4671060"/>
          <a:ext cx="76200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Showing</a:t>
          </a:r>
          <a:r>
            <a:rPr lang="en-US" sz="1200" baseline="0"/>
            <a:t> a daily trend with an area sparkling to spot patterns like busy days or seasonal trends</a:t>
          </a:r>
          <a:r>
            <a:rPr lang="en-US" sz="1100" baseline="0"/>
            <a:t>.</a:t>
          </a:r>
          <a:endParaRPr lang="en-US" sz="1100"/>
        </a:p>
      </xdr:txBody>
    </xdr:sp>
    <xdr:clientData/>
  </xdr:oneCellAnchor>
  <xdr:twoCellAnchor editAs="oneCell">
    <xdr:from>
      <xdr:col>0</xdr:col>
      <xdr:colOff>0</xdr:colOff>
      <xdr:row>1</xdr:row>
      <xdr:rowOff>68580</xdr:rowOff>
    </xdr:from>
    <xdr:to>
      <xdr:col>0</xdr:col>
      <xdr:colOff>449580</xdr:colOff>
      <xdr:row>3</xdr:row>
      <xdr:rowOff>152400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7BA8BAB8-0347-5303-591F-FAF8201D87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251460"/>
          <a:ext cx="449580" cy="4495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18634259" createdVersion="5" refreshedVersion="8" minRefreshableVersion="3" recordCount="0" supportSubquery="1" supportAdvancedDrill="1" xr:uid="{ADA8AD10-85ED-4653-BE3E-3780012CCB5D}">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18749998" createdVersion="5" refreshedVersion="8" minRefreshableVersion="3" recordCount="0" supportSubquery="1" supportAdvancedDrill="1" xr:uid="{A7F41A74-F9DC-4985-800E-4D572E25B673}">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18865744" createdVersion="5" refreshedVersion="8" minRefreshableVersion="3" recordCount="0" supportSubquery="1" supportAdvancedDrill="1" xr:uid="{24D8C8D5-45C7-43C0-B09A-BF2C988270A7}">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19097221" createdVersion="5" refreshedVersion="8" minRefreshableVersion="3" recordCount="0" supportSubquery="1" supportAdvancedDrill="1" xr:uid="{61700538-DD59-4DC3-9889-7791B73E8646}">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19560183" createdVersion="5" refreshedVersion="8" minRefreshableVersion="3" recordCount="0" supportSubquery="1" supportAdvancedDrill="1" xr:uid="{AC0C9B16-3C3A-4385-919C-A924AD852FB1}">
  <cacheSource type="external" connectionId="3"/>
  <cacheFields count="4">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20023145" createdVersion="5" refreshedVersion="8" minRefreshableVersion="3" recordCount="0" supportSubquery="1" supportAdvancedDrill="1" xr:uid="{3407811E-239A-420E-9C91-04E575864CBA}">
  <cacheSource type="external" connectionId="3"/>
  <cacheFields count="4">
    <cacheField name="[Calender_Table].[Date (Day)].[Date (Day)]" caption="Date (Day)" numFmtId="0" hierarchy="2" level="1">
      <sharedItems count="30">
        <s v="1-Aug"/>
        <s v="2-Aug"/>
        <s v="3-Aug"/>
        <s v="4-Aug"/>
        <s v="5-Aug"/>
        <s v="6-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20601853" createdVersion="5" refreshedVersion="8" minRefreshableVersion="3" recordCount="0" supportSubquery="1" supportAdvancedDrill="1" xr:uid="{42A54DEA-BB36-4146-A3A2-BE3947329D23}">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21064815" createdVersion="5" refreshedVersion="8" minRefreshableVersion="3" recordCount="0" supportSubquery="1" supportAdvancedDrill="1" xr:uid="{3CD0DA31-EF19-45CD-B67D-EA5396F9E8B9}">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21643515" createdVersion="5" refreshedVersion="8" minRefreshableVersion="3" recordCount="0" supportSubquery="1" supportAdvancedDrill="1" xr:uid="{DCBFB357-D27C-4FAF-8B29-DF1F590439E2}">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21990739" createdVersion="5" refreshedVersion="8" minRefreshableVersion="3" recordCount="0" supportSubquery="1" supportAdvancedDrill="1" xr:uid="{DF6F295E-F4E4-4074-A06C-CBF7DA681957}">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22569446" createdVersion="5" refreshedVersion="8" minRefreshableVersion="3" recordCount="0" supportSubquery="1" supportAdvancedDrill="1" xr:uid="{D248AD36-0939-4E43-83D4-BACE76B71845}">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83923148147" createdVersion="5" refreshedVersion="8" minRefreshableVersion="3" recordCount="0" supportSubquery="1" supportAdvancedDrill="1" xr:uid="{216F77B0-7B66-418C-977D-475B745B31F5}">
  <cacheSource type="external" connectionId="3"/>
  <cacheFields count="4">
    <cacheField name="[Calender_Table].[Date (Month)].[Date (Month)]" caption="Date (Month)" numFmtId="0" hierarchy="1" level="1">
      <sharedItems count="1">
        <s v="Dec"/>
      </sharedItems>
    </cacheField>
    <cacheField name="[Calender_Table].[Date].[Date]" caption="Date" numFmtId="0" level="1">
      <sharedItems containsSemiMixedTypes="0" containsNonDate="0" containsDate="1" containsString="0" minDate="2023-12-01T00:00:00" maxDate="2025-01-01T00:00:00" count="62">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369585763889" createdVersion="3" refreshedVersion="8" minRefreshableVersion="3" recordCount="0" supportSubquery="1" supportAdvancedDrill="1" xr:uid="{9114B4F6-7E67-43CE-8CFC-83A69C126D2A}">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267890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40BD2-9AAF-49B6-9676-513FEEB08804}" name="PivotTable13" cacheId="2063" applyNumberFormats="0" applyBorderFormats="0" applyFontFormats="0" applyPatternFormats="0" applyAlignmentFormats="0" applyWidthHeightFormats="1" dataCaption="Values" tag="04c08298-10cf-4e75-8100-d308330d01b5" updatedVersion="8" minRefreshableVersion="3" subtotalHiddenItems="1" itemPrintTitles="1" createdVersion="5" indent="0" outline="1" outlineData="1" multipleFieldFilters="0" chartFormat="35">
  <location ref="A95:A9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65">
      <pivotArea outline="0" collapsedLevelsAreSubtotals="1" fieldPosition="0"/>
    </format>
  </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attend Status"/>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4D9845-B368-4435-ACD6-7F4D0CBA6D41}" name="PivotTable12" cacheId="2060" applyNumberFormats="0" applyBorderFormats="0" applyFontFormats="0" applyPatternFormats="0" applyAlignmentFormats="0" applyWidthHeightFormats="1" dataCaption="Values" tag="0c37c020-34f1-483b-8cce-3185f395c297" updatedVersion="8" minRefreshableVersion="3" subtotalHiddenItems="1" itemPrintTitles="1" createdVersion="5" indent="0" outline="1" outlineData="1" multipleFieldFilters="0" chartFormat="35">
  <location ref="A78:B8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1">
    <format dxfId="166">
      <pivotArea outline="0" collapsedLevelsAreSubtotals="1" fieldPosition="0"/>
    </format>
  </formats>
  <chartFormats count="1">
    <chartFormat chart="3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attend Status"/>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6D11A4-58CF-43B7-9DF3-160727C0A1EF}" name="PivotTable11" cacheId="2057" applyNumberFormats="0" applyBorderFormats="0" applyFontFormats="0" applyPatternFormats="0" applyAlignmentFormats="0" applyWidthHeightFormats="1" dataCaption="Values" tag="9245693d-65e7-4c7c-b6be-daccd1423de8" updatedVersion="8" minRefreshableVersion="3" subtotalHiddenItems="1" itemPrintTitles="1" createdVersion="5" indent="0" outline="1" outlineData="1" multipleFieldFilters="0" chartFormat="34">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67">
      <pivotArea outline="0" collapsedLevelsAreSubtotals="1" fieldPosition="0"/>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attend Status"/>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E1B8AB-19A7-4343-9702-FB1FF064FB3B}" name="PivotTable10" cacheId="2054" applyNumberFormats="0" applyBorderFormats="0" applyFontFormats="0" applyPatternFormats="0" applyAlignmentFormats="0" applyWidthHeightFormats="1" dataCaption="Values" tag="adc88df1-43e7-44a1-abde-ec0a9b2bae32" updatedVersion="8" minRefreshableVersion="3" subtotalHiddenItems="1" itemPrintTitles="1" createdVersion="5" indent="0" outline="1" outlineData="1" multipleFieldFilters="0" chartFormat="23">
  <location ref="A58:B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2" baseItem="0"/>
  </dataFields>
  <formats count="1">
    <format dxfId="168">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2" count="1" selected="0">
            <x v="0"/>
          </reference>
        </references>
      </pivotArea>
    </chartFormat>
    <chartFormat chart="21"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attend Status"/>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300846-0E2F-4A72-9515-B3A752DCA9F4}" name="PivotTable9" cacheId="2051" applyNumberFormats="0" applyBorderFormats="0" applyFontFormats="0" applyPatternFormats="0" applyAlignmentFormats="0" applyWidthHeightFormats="1" dataCaption="Values" tag="c191045f-d444-4f77-8c0c-b4fa43943494" updatedVersion="8" minRefreshableVersion="3" subtotalHiddenItems="1" itemPrintTitles="1" createdVersion="5" indent="0" outline="1" outlineData="1" multipleFieldFilters="0" chartFormat="19">
  <location ref="A41:B50"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69">
      <pivotArea outline="0" collapsedLevelsAreSubtotals="1" fieldPosition="0"/>
    </format>
  </formats>
  <chartFormats count="2">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EC6BB9-0FBD-4DF9-B983-D8F37213CF33}" name="PivotTable8" cacheId="2048" applyNumberFormats="0" applyBorderFormats="0" applyFontFormats="0" applyPatternFormats="0" applyAlignmentFormats="0" applyWidthHeightFormats="1" dataCaption="Values" tag="1027e9b4-2cd2-4b8e-bce1-b95ea6cc9ecf" updatedVersion="8" minRefreshableVersion="3" subtotalHiddenItems="1" itemPrintTitles="1" createdVersion="5" indent="0" outline="1" outlineData="1" multipleFieldFilters="0" chartFormat="16">
  <location ref="A25:C2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71">
      <pivotArea outline="0" collapsedLevelsAreSubtotals="1" fieldPosition="0"/>
    </format>
    <format dxfId="17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8F8DF1-F61D-45D9-B1F3-619FBED3DEDD}" name="PivotTable6" cacheId="2045" applyNumberFormats="0" applyBorderFormats="0" applyFontFormats="0" applyPatternFormats="0" applyAlignmentFormats="0" applyWidthHeightFormats="1" dataCaption="Values" tag="1c57a71a-b07e-4aeb-9eee-2d34ab463fcf" updatedVersion="8" minRefreshableVersion="3" subtotalHiddenItems="1" itemPrintTitles="1" createdVersion="5" indent="0" outline="1" outlineData="1" multipleFieldFilters="0" chartFormat="25">
  <location ref="R7:S3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72">
      <pivotArea collapsedLevelsAreSubtotals="1" fieldPosition="0">
        <references count="1">
          <reference field="0" count="0"/>
        </references>
      </pivotArea>
    </format>
  </formats>
  <chartFormats count="2">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C95E18-39AE-4CAD-B161-CAD182583CA3}" name="PivotTable5" cacheId="2042" applyNumberFormats="0" applyBorderFormats="0" applyFontFormats="0" applyPatternFormats="0" applyAlignmentFormats="0" applyWidthHeightFormats="1" dataCaption="Values" tag="4fcc609f-4b27-44c2-870f-892b8b738057" updatedVersion="8" minRefreshableVersion="3" subtotalHiddenItems="1" itemPrintTitles="1" createdVersion="5" indent="0" outline="1" outlineData="1" multipleFieldFilters="0" chartFormat="19">
  <location ref="M7:N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173">
      <pivotArea collapsedLevelsAreSubtotals="1" fieldPosition="0">
        <references count="1">
          <reference field="0" count="0"/>
        </references>
      </pivotArea>
    </format>
  </formats>
  <chartFormats count="2">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7C6E67-7AEB-4FBA-83A5-E43417D66D73}" name="PivotTable4" cacheId="2030" applyNumberFormats="0" applyBorderFormats="0" applyFontFormats="0" applyPatternFormats="0" applyAlignmentFormats="0" applyWidthHeightFormats="1" dataCaption="Values" tag="0f2864c4-f9f0-4544-af03-8125b91c0d93" updatedVersion="8" minRefreshableVersion="3" subtotalHiddenItems="1" itemPrintTitles="1" createdVersion="5" indent="0" outline="1" outlineData="1" multipleFieldFilters="0" chartFormat="12">
  <location ref="E6:F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0126A9-59D3-4B05-AD2D-23B43DFD966B}" name="PivotTable3" cacheId="2039" applyNumberFormats="0" applyBorderFormats="0" applyFontFormats="0" applyPatternFormats="0" applyAlignmentFormats="0" applyWidthHeightFormats="1" dataCaption="Values" tag="08b78dea-3013-4d19-a8e7-6a7bac6c92e4" updatedVersion="8" minRefreshableVersion="3" itemPrintTitles="1" createdVersion="5"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90">
      <pivotArea outline="0" collapsedLevelsAreSubtotals="1" fieldPosition="0"/>
    </format>
  </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E4EC5F-AE61-465C-8B11-5FA3F8B3D7F8}" name="PivotTable2" cacheId="2036" applyNumberFormats="0" applyBorderFormats="0" applyFontFormats="0" applyPatternFormats="0" applyAlignmentFormats="0" applyWidthHeightFormats="1" dataCaption="Values" tag="34de23c7-6f6e-44b7-a24e-289c617c3352" updatedVersion="8" minRefreshableVersion="3"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91">
      <pivotArea outline="0" collapsedLevelsAreSubtotals="1" fieldPosition="0"/>
    </format>
  </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417682-B582-42FB-A623-C5A44042C27F}" name="PivotTable1" cacheId="2033" applyNumberFormats="0" applyBorderFormats="0" applyFontFormats="0" applyPatternFormats="0" applyAlignmentFormats="0" applyWidthHeightFormats="1" dataCaption="Values" tag="bc1ff730-e534-4cb3-9ebb-4e045bfc34b6" updatedVersion="8" minRefreshableVersion="3"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BE23925-308F-4BA6-9F03-C0510390F7D1}"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s>
  <data>
    <olap pivotCacheId="226789003">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B065F65-1E51-48C2-B02D-D472F254EAF0}"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22678900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B867137-1788-4DAA-8CDA-E9C2D5C6BB3B}" cache="Slicer_Date__Month" caption="Date (Month)" level="1" rowHeight="247650"/>
  <slicer name="Date (Year)" xr10:uid="{C3772B00-524A-416E-ADA9-790DF4B66F3F}" cache="Slicer_Date__Year" caption="Dat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8E9CE7F8-6E0B-4629-BE9F-28C69A853F8E}" cache="Slicer_Date__Month" caption="Date (Month)" showCaption="0" level="1" style="SlicerStyleDark2 4" rowHeight="274320"/>
  <slicer name="Date (Year) 1" xr10:uid="{E18EE64F-0B9E-49BE-9588-89797082452A}" cache="Slicer_Date__Year" caption="Date (Year)" columnCount="2" showCaption="0" level="1" style="SlicerStyleDark2 4"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3209-CA66-49B2-9C54-277A620D540C}">
  <dimension ref="A4:S97"/>
  <sheetViews>
    <sheetView topLeftCell="A86" workbookViewId="0">
      <selection activeCell="A96" sqref="A96"/>
    </sheetView>
  </sheetViews>
  <sheetFormatPr defaultRowHeight="14.4" x14ac:dyDescent="0.3"/>
  <cols>
    <col min="1" max="1" width="19.77734375" customWidth="1"/>
    <col min="2" max="2" width="25.77734375" customWidth="1"/>
    <col min="3" max="3" width="13.33203125" customWidth="1"/>
    <col min="4" max="4" width="31.109375" customWidth="1"/>
    <col min="5" max="5" width="24" customWidth="1"/>
    <col min="6" max="6" width="23.21875" customWidth="1"/>
    <col min="13" max="13" width="17.5546875" customWidth="1"/>
    <col min="14" max="14" width="23.33203125" bestFit="1" customWidth="1"/>
    <col min="18" max="18" width="26.44140625" customWidth="1"/>
    <col min="19" max="19" width="31.109375" customWidth="1"/>
  </cols>
  <sheetData>
    <row r="4" spans="1:19" x14ac:dyDescent="0.3">
      <c r="A4" t="s">
        <v>1</v>
      </c>
    </row>
    <row r="5" spans="1:19" x14ac:dyDescent="0.3">
      <c r="A5" t="s">
        <v>0</v>
      </c>
      <c r="E5" t="s">
        <v>38</v>
      </c>
    </row>
    <row r="6" spans="1:19" x14ac:dyDescent="0.3">
      <c r="A6" s="1">
        <v>530</v>
      </c>
      <c r="B6" s="1"/>
      <c r="E6" s="2" t="s">
        <v>4</v>
      </c>
      <c r="F6" t="s">
        <v>0</v>
      </c>
      <c r="M6" t="s">
        <v>39</v>
      </c>
      <c r="R6" t="s">
        <v>56</v>
      </c>
    </row>
    <row r="7" spans="1:19" x14ac:dyDescent="0.3">
      <c r="E7" s="5" t="s">
        <v>7</v>
      </c>
      <c r="F7" s="1">
        <v>28</v>
      </c>
      <c r="M7" s="2" t="s">
        <v>4</v>
      </c>
      <c r="N7" t="s">
        <v>2</v>
      </c>
      <c r="R7" s="2" t="s">
        <v>4</v>
      </c>
      <c r="S7" t="s">
        <v>3</v>
      </c>
    </row>
    <row r="8" spans="1:19" x14ac:dyDescent="0.3">
      <c r="E8" s="5" t="s">
        <v>8</v>
      </c>
      <c r="F8" s="1">
        <v>19</v>
      </c>
      <c r="M8" s="5" t="s">
        <v>7</v>
      </c>
      <c r="N8" s="3">
        <v>35.285714285714285</v>
      </c>
      <c r="R8" s="5" t="s">
        <v>7</v>
      </c>
      <c r="S8" s="3">
        <v>4.5</v>
      </c>
    </row>
    <row r="9" spans="1:19" x14ac:dyDescent="0.3">
      <c r="E9" s="5" t="s">
        <v>9</v>
      </c>
      <c r="F9" s="1">
        <v>14</v>
      </c>
      <c r="M9" s="5" t="s">
        <v>8</v>
      </c>
      <c r="N9" s="3">
        <v>31.842105263157894</v>
      </c>
      <c r="R9" s="5" t="s">
        <v>8</v>
      </c>
      <c r="S9" s="3">
        <v>4.666666666666667</v>
      </c>
    </row>
    <row r="10" spans="1:19" x14ac:dyDescent="0.3">
      <c r="E10" s="5" t="s">
        <v>10</v>
      </c>
      <c r="F10" s="1">
        <v>17</v>
      </c>
      <c r="M10" s="5" t="s">
        <v>9</v>
      </c>
      <c r="N10" s="3">
        <v>34.714285714285715</v>
      </c>
      <c r="R10" s="5" t="s">
        <v>9</v>
      </c>
      <c r="S10" s="3">
        <v>7.4</v>
      </c>
    </row>
    <row r="11" spans="1:19" x14ac:dyDescent="0.3">
      <c r="E11" s="5" t="s">
        <v>11</v>
      </c>
      <c r="F11" s="1">
        <v>19</v>
      </c>
      <c r="M11" s="5" t="s">
        <v>10</v>
      </c>
      <c r="N11" s="3">
        <v>42.823529411764703</v>
      </c>
      <c r="R11" s="5" t="s">
        <v>10</v>
      </c>
      <c r="S11" s="3">
        <v>4.5</v>
      </c>
    </row>
    <row r="12" spans="1:19" x14ac:dyDescent="0.3">
      <c r="A12" t="s">
        <v>2</v>
      </c>
      <c r="E12" s="5" t="s">
        <v>12</v>
      </c>
      <c r="F12" s="1">
        <v>12</v>
      </c>
      <c r="M12" s="5" t="s">
        <v>11</v>
      </c>
      <c r="N12" s="3">
        <v>32.157894736842103</v>
      </c>
      <c r="R12" s="5" t="s">
        <v>11</v>
      </c>
      <c r="S12" s="3">
        <v>4.8</v>
      </c>
    </row>
    <row r="13" spans="1:19" x14ac:dyDescent="0.3">
      <c r="A13" s="3">
        <v>35.113207547169814</v>
      </c>
      <c r="B13" s="3"/>
      <c r="E13" s="5" t="s">
        <v>13</v>
      </c>
      <c r="F13" s="1">
        <v>10</v>
      </c>
      <c r="M13" s="5" t="s">
        <v>12</v>
      </c>
      <c r="N13" s="3">
        <v>34.833333333333336</v>
      </c>
      <c r="R13" s="5" t="s">
        <v>12</v>
      </c>
      <c r="S13" s="3">
        <v>4.75</v>
      </c>
    </row>
    <row r="14" spans="1:19" x14ac:dyDescent="0.3">
      <c r="E14" s="5" t="s">
        <v>14</v>
      </c>
      <c r="F14" s="1">
        <v>20</v>
      </c>
      <c r="M14" s="5" t="s">
        <v>13</v>
      </c>
      <c r="N14" s="3">
        <v>33.4</v>
      </c>
      <c r="R14" s="5" t="s">
        <v>14</v>
      </c>
      <c r="S14" s="3">
        <v>2.25</v>
      </c>
    </row>
    <row r="15" spans="1:19" x14ac:dyDescent="0.3">
      <c r="E15" s="5" t="s">
        <v>15</v>
      </c>
      <c r="F15" s="1">
        <v>12</v>
      </c>
      <c r="M15" s="5" t="s">
        <v>14</v>
      </c>
      <c r="N15" s="3">
        <v>28.15</v>
      </c>
      <c r="R15" s="5" t="s">
        <v>15</v>
      </c>
      <c r="S15" s="3">
        <v>4</v>
      </c>
    </row>
    <row r="16" spans="1:19" x14ac:dyDescent="0.3">
      <c r="E16" s="5" t="s">
        <v>16</v>
      </c>
      <c r="F16" s="1">
        <v>24</v>
      </c>
      <c r="M16" s="5" t="s">
        <v>15</v>
      </c>
      <c r="N16" s="3">
        <v>31.333333333333332</v>
      </c>
      <c r="R16" s="5" t="s">
        <v>16</v>
      </c>
      <c r="S16" s="3">
        <v>6.666666666666667</v>
      </c>
    </row>
    <row r="17" spans="1:19" x14ac:dyDescent="0.3">
      <c r="E17" s="5" t="s">
        <v>17</v>
      </c>
      <c r="F17" s="1">
        <v>16</v>
      </c>
      <c r="M17" s="5" t="s">
        <v>16</v>
      </c>
      <c r="N17" s="3">
        <v>37.375</v>
      </c>
      <c r="R17" s="5" t="s">
        <v>17</v>
      </c>
      <c r="S17" s="3">
        <v>2.6666666666666665</v>
      </c>
    </row>
    <row r="18" spans="1:19" x14ac:dyDescent="0.3">
      <c r="E18" s="5" t="s">
        <v>18</v>
      </c>
      <c r="F18" s="1">
        <v>16</v>
      </c>
      <c r="M18" s="5" t="s">
        <v>17</v>
      </c>
      <c r="N18" s="3">
        <v>36.0625</v>
      </c>
      <c r="R18" s="5" t="s">
        <v>18</v>
      </c>
      <c r="S18" s="3">
        <v>3.6666666666666665</v>
      </c>
    </row>
    <row r="19" spans="1:19" x14ac:dyDescent="0.3">
      <c r="A19" t="s">
        <v>3</v>
      </c>
      <c r="E19" s="5" t="s">
        <v>19</v>
      </c>
      <c r="F19" s="1">
        <v>14</v>
      </c>
      <c r="M19" s="5" t="s">
        <v>18</v>
      </c>
      <c r="N19" s="3">
        <v>40.5</v>
      </c>
      <c r="R19" s="5" t="s">
        <v>19</v>
      </c>
      <c r="S19" s="3">
        <v>4</v>
      </c>
    </row>
    <row r="20" spans="1:19" x14ac:dyDescent="0.3">
      <c r="A20" s="3">
        <v>5.1769911504424782</v>
      </c>
      <c r="B20" s="3"/>
      <c r="E20" s="5" t="s">
        <v>20</v>
      </c>
      <c r="F20" s="1">
        <v>12</v>
      </c>
      <c r="M20" s="5" t="s">
        <v>19</v>
      </c>
      <c r="N20" s="3">
        <v>39.571428571428569</v>
      </c>
      <c r="R20" s="5" t="s">
        <v>20</v>
      </c>
      <c r="S20" s="3">
        <v>7.5</v>
      </c>
    </row>
    <row r="21" spans="1:19" x14ac:dyDescent="0.3">
      <c r="E21" s="5" t="s">
        <v>21</v>
      </c>
      <c r="F21" s="1">
        <v>18</v>
      </c>
      <c r="M21" s="5" t="s">
        <v>20</v>
      </c>
      <c r="N21" s="3">
        <v>30.25</v>
      </c>
      <c r="R21" s="5" t="s">
        <v>21</v>
      </c>
      <c r="S21" s="3">
        <v>5.5</v>
      </c>
    </row>
    <row r="22" spans="1:19" x14ac:dyDescent="0.3">
      <c r="E22" s="5" t="s">
        <v>22</v>
      </c>
      <c r="F22" s="1">
        <v>15</v>
      </c>
      <c r="M22" s="5" t="s">
        <v>21</v>
      </c>
      <c r="N22" s="3">
        <v>39.722222222222221</v>
      </c>
      <c r="R22" s="5" t="s">
        <v>22</v>
      </c>
      <c r="S22" s="3">
        <v>7.5</v>
      </c>
    </row>
    <row r="23" spans="1:19" x14ac:dyDescent="0.3">
      <c r="E23" s="5" t="s">
        <v>23</v>
      </c>
      <c r="F23" s="1">
        <v>25</v>
      </c>
      <c r="M23" s="5" t="s">
        <v>22</v>
      </c>
      <c r="N23" s="3">
        <v>38.133333333333333</v>
      </c>
      <c r="R23" s="5" t="s">
        <v>23</v>
      </c>
      <c r="S23" s="3">
        <v>5</v>
      </c>
    </row>
    <row r="24" spans="1:19" x14ac:dyDescent="0.3">
      <c r="E24" s="5" t="s">
        <v>24</v>
      </c>
      <c r="F24" s="1">
        <v>15</v>
      </c>
      <c r="M24" s="5" t="s">
        <v>23</v>
      </c>
      <c r="N24" s="3">
        <v>34.08</v>
      </c>
      <c r="R24" s="5" t="s">
        <v>24</v>
      </c>
      <c r="S24" s="3">
        <v>3.5</v>
      </c>
    </row>
    <row r="25" spans="1:19" x14ac:dyDescent="0.3">
      <c r="A25" s="2" t="s">
        <v>4</v>
      </c>
      <c r="B25" t="s">
        <v>58</v>
      </c>
      <c r="C25" t="s">
        <v>60</v>
      </c>
      <c r="E25" s="5" t="s">
        <v>25</v>
      </c>
      <c r="F25" s="1">
        <v>19</v>
      </c>
      <c r="M25" s="5" t="s">
        <v>24</v>
      </c>
      <c r="N25" s="3">
        <v>30.066666666666666</v>
      </c>
      <c r="R25" s="5" t="s">
        <v>25</v>
      </c>
      <c r="S25" s="3">
        <v>6.5</v>
      </c>
    </row>
    <row r="26" spans="1:19" x14ac:dyDescent="0.3">
      <c r="A26" s="5" t="s">
        <v>42</v>
      </c>
      <c r="B26" s="3">
        <v>242</v>
      </c>
      <c r="C26" s="8">
        <v>0.45660377358490567</v>
      </c>
      <c r="E26" s="5" t="s">
        <v>26</v>
      </c>
      <c r="F26" s="1">
        <v>23</v>
      </c>
      <c r="M26" s="5" t="s">
        <v>25</v>
      </c>
      <c r="N26" s="3">
        <v>33.263157894736842</v>
      </c>
      <c r="R26" s="5" t="s">
        <v>26</v>
      </c>
      <c r="S26" s="3">
        <v>5.833333333333333</v>
      </c>
    </row>
    <row r="27" spans="1:19" x14ac:dyDescent="0.3">
      <c r="A27" s="5" t="s">
        <v>46</v>
      </c>
      <c r="B27" s="3">
        <v>288</v>
      </c>
      <c r="C27" s="8">
        <v>0.54339622641509433</v>
      </c>
      <c r="E27" s="5" t="s">
        <v>27</v>
      </c>
      <c r="F27" s="1">
        <v>10</v>
      </c>
      <c r="M27" s="5" t="s">
        <v>26</v>
      </c>
      <c r="N27" s="3">
        <v>38.565217391304351</v>
      </c>
      <c r="R27" s="5" t="s">
        <v>27</v>
      </c>
      <c r="S27" s="3">
        <v>4.5</v>
      </c>
    </row>
    <row r="28" spans="1:19" x14ac:dyDescent="0.3">
      <c r="A28" s="5" t="s">
        <v>5</v>
      </c>
      <c r="B28" s="3">
        <v>530</v>
      </c>
      <c r="C28" s="8">
        <v>1</v>
      </c>
      <c r="E28" s="5" t="s">
        <v>28</v>
      </c>
      <c r="F28" s="1">
        <v>14</v>
      </c>
      <c r="M28" s="5" t="s">
        <v>27</v>
      </c>
      <c r="N28" s="3">
        <v>28.6</v>
      </c>
      <c r="R28" s="5" t="s">
        <v>28</v>
      </c>
      <c r="S28" s="3">
        <v>3.75</v>
      </c>
    </row>
    <row r="29" spans="1:19" x14ac:dyDescent="0.3">
      <c r="E29" s="5" t="s">
        <v>29</v>
      </c>
      <c r="F29" s="1">
        <v>16</v>
      </c>
      <c r="M29" s="5" t="s">
        <v>28</v>
      </c>
      <c r="N29" s="3">
        <v>36.285714285714285</v>
      </c>
      <c r="R29" s="5" t="s">
        <v>29</v>
      </c>
      <c r="S29" s="3">
        <v>10</v>
      </c>
    </row>
    <row r="30" spans="1:19" x14ac:dyDescent="0.3">
      <c r="E30" s="5" t="s">
        <v>30</v>
      </c>
      <c r="F30" s="1">
        <v>18</v>
      </c>
      <c r="M30" s="5" t="s">
        <v>29</v>
      </c>
      <c r="N30" s="3">
        <v>40.375</v>
      </c>
      <c r="R30" s="5" t="s">
        <v>30</v>
      </c>
      <c r="S30" s="3">
        <v>4</v>
      </c>
    </row>
    <row r="31" spans="1:19" x14ac:dyDescent="0.3">
      <c r="E31" s="5" t="s">
        <v>31</v>
      </c>
      <c r="F31" s="1">
        <v>22</v>
      </c>
      <c r="M31" s="5" t="s">
        <v>30</v>
      </c>
      <c r="N31" s="3">
        <v>34.666666666666664</v>
      </c>
      <c r="R31" s="5" t="s">
        <v>31</v>
      </c>
      <c r="S31" s="3">
        <v>8.3333333333333339</v>
      </c>
    </row>
    <row r="32" spans="1:19" x14ac:dyDescent="0.3">
      <c r="A32" s="9" t="s">
        <v>59</v>
      </c>
      <c r="B32" s="9" t="s">
        <v>69</v>
      </c>
      <c r="C32" s="9" t="s">
        <v>67</v>
      </c>
      <c r="D32" s="9"/>
      <c r="E32" s="5" t="s">
        <v>32</v>
      </c>
      <c r="F32" s="1">
        <v>14</v>
      </c>
      <c r="M32" s="5" t="s">
        <v>31</v>
      </c>
      <c r="N32" s="3">
        <v>34.863636363636367</v>
      </c>
      <c r="R32" s="5" t="s">
        <v>32</v>
      </c>
      <c r="S32" s="3">
        <v>3.25</v>
      </c>
    </row>
    <row r="33" spans="1:19" x14ac:dyDescent="0.3">
      <c r="A33" s="10" t="str">
        <f>A27</f>
        <v>Not Admitted</v>
      </c>
      <c r="B33" s="10">
        <f>B27</f>
        <v>288</v>
      </c>
      <c r="C33" s="11">
        <f>C27</f>
        <v>0.54339622641509433</v>
      </c>
      <c r="D33" s="10"/>
      <c r="E33" s="5" t="s">
        <v>33</v>
      </c>
      <c r="F33" s="1">
        <v>15</v>
      </c>
      <c r="M33" s="5" t="s">
        <v>32</v>
      </c>
      <c r="N33" s="3">
        <v>30.928571428571427</v>
      </c>
      <c r="R33" s="5" t="s">
        <v>33</v>
      </c>
      <c r="S33" s="3">
        <v>6</v>
      </c>
    </row>
    <row r="34" spans="1:19" ht="23.4" customHeight="1" x14ac:dyDescent="0.3">
      <c r="A34" s="10" t="str">
        <f>A26</f>
        <v>Admitted</v>
      </c>
      <c r="B34" s="10">
        <f>B26</f>
        <v>242</v>
      </c>
      <c r="C34" s="11">
        <f>C26</f>
        <v>0.45660377358490567</v>
      </c>
      <c r="D34" s="10"/>
      <c r="E34" s="5" t="s">
        <v>34</v>
      </c>
      <c r="F34" s="1">
        <v>21</v>
      </c>
      <c r="M34" s="5" t="s">
        <v>33</v>
      </c>
      <c r="N34" s="3">
        <v>35.6</v>
      </c>
      <c r="R34" s="5" t="s">
        <v>34</v>
      </c>
      <c r="S34" s="3">
        <v>6</v>
      </c>
    </row>
    <row r="35" spans="1:19" x14ac:dyDescent="0.3">
      <c r="E35" s="5" t="s">
        <v>35</v>
      </c>
      <c r="F35" s="1">
        <v>17</v>
      </c>
      <c r="M35" s="5" t="s">
        <v>34</v>
      </c>
      <c r="N35" s="3">
        <v>34.952380952380949</v>
      </c>
      <c r="R35" s="5" t="s">
        <v>35</v>
      </c>
      <c r="S35" s="3">
        <v>3.3333333333333335</v>
      </c>
    </row>
    <row r="36" spans="1:19" x14ac:dyDescent="0.3">
      <c r="E36" s="5" t="s">
        <v>36</v>
      </c>
      <c r="F36" s="1">
        <v>16</v>
      </c>
      <c r="M36" s="5" t="s">
        <v>35</v>
      </c>
      <c r="N36" s="3">
        <v>34.411764705882355</v>
      </c>
      <c r="R36" s="5" t="s">
        <v>36</v>
      </c>
      <c r="S36" s="3">
        <v>6.666666666666667</v>
      </c>
    </row>
    <row r="37" spans="1:19" x14ac:dyDescent="0.3">
      <c r="D37" t="s">
        <v>68</v>
      </c>
      <c r="E37" s="5" t="s">
        <v>37</v>
      </c>
      <c r="F37" s="1">
        <v>19</v>
      </c>
      <c r="M37" s="5" t="s">
        <v>36</v>
      </c>
      <c r="N37" s="3">
        <v>34</v>
      </c>
      <c r="R37" s="5" t="s">
        <v>37</v>
      </c>
      <c r="S37" s="3">
        <v>5.625</v>
      </c>
    </row>
    <row r="38" spans="1:19" x14ac:dyDescent="0.3">
      <c r="E38" s="5" t="s">
        <v>5</v>
      </c>
      <c r="F38" s="1">
        <v>530</v>
      </c>
      <c r="M38" s="5" t="s">
        <v>37</v>
      </c>
      <c r="N38" s="3">
        <v>36.421052631578945</v>
      </c>
      <c r="R38" s="5" t="s">
        <v>5</v>
      </c>
      <c r="S38" s="1">
        <v>5.1769911504424782</v>
      </c>
    </row>
    <row r="39" spans="1:19" x14ac:dyDescent="0.3">
      <c r="M39" s="5" t="s">
        <v>5</v>
      </c>
      <c r="N39" s="1">
        <v>35.113207547169814</v>
      </c>
    </row>
    <row r="40" spans="1:19" x14ac:dyDescent="0.3">
      <c r="A40" t="s">
        <v>71</v>
      </c>
    </row>
    <row r="41" spans="1:19" x14ac:dyDescent="0.3">
      <c r="A41" s="2" t="s">
        <v>4</v>
      </c>
      <c r="B41" t="s">
        <v>70</v>
      </c>
    </row>
    <row r="42" spans="1:19" x14ac:dyDescent="0.3">
      <c r="A42" s="5" t="s">
        <v>52</v>
      </c>
      <c r="B42" s="7">
        <v>63</v>
      </c>
    </row>
    <row r="43" spans="1:19" x14ac:dyDescent="0.3">
      <c r="A43" s="5" t="s">
        <v>43</v>
      </c>
      <c r="B43" s="7">
        <v>63</v>
      </c>
    </row>
    <row r="44" spans="1:19" x14ac:dyDescent="0.3">
      <c r="A44" s="5" t="s">
        <v>49</v>
      </c>
      <c r="B44" s="7">
        <v>65</v>
      </c>
    </row>
    <row r="45" spans="1:19" x14ac:dyDescent="0.3">
      <c r="A45" s="5" t="s">
        <v>47</v>
      </c>
      <c r="B45" s="7">
        <v>60</v>
      </c>
    </row>
    <row r="46" spans="1:19" x14ac:dyDescent="0.3">
      <c r="A46" s="5" t="s">
        <v>48</v>
      </c>
      <c r="B46" s="7">
        <v>65</v>
      </c>
    </row>
    <row r="47" spans="1:19" x14ac:dyDescent="0.3">
      <c r="A47" s="5" t="s">
        <v>54</v>
      </c>
      <c r="B47" s="7">
        <v>72</v>
      </c>
    </row>
    <row r="48" spans="1:19" x14ac:dyDescent="0.3">
      <c r="A48" s="5" t="s">
        <v>55</v>
      </c>
      <c r="B48" s="7">
        <v>73</v>
      </c>
    </row>
    <row r="49" spans="1:2" x14ac:dyDescent="0.3">
      <c r="A49" s="5" t="s">
        <v>61</v>
      </c>
      <c r="B49" s="7">
        <v>69</v>
      </c>
    </row>
    <row r="50" spans="1:2" x14ac:dyDescent="0.3">
      <c r="A50" s="5" t="s">
        <v>5</v>
      </c>
      <c r="B50" s="7">
        <v>530</v>
      </c>
    </row>
    <row r="57" spans="1:2" x14ac:dyDescent="0.3">
      <c r="A57" t="s">
        <v>72</v>
      </c>
    </row>
    <row r="58" spans="1:2" x14ac:dyDescent="0.3">
      <c r="A58" s="2" t="s">
        <v>4</v>
      </c>
      <c r="B58" t="s">
        <v>57</v>
      </c>
    </row>
    <row r="59" spans="1:2" x14ac:dyDescent="0.3">
      <c r="A59" s="5" t="s">
        <v>44</v>
      </c>
      <c r="B59" s="7">
        <v>333</v>
      </c>
    </row>
    <row r="60" spans="1:2" x14ac:dyDescent="0.3">
      <c r="A60" s="5" t="s">
        <v>50</v>
      </c>
      <c r="B60" s="7">
        <v>197</v>
      </c>
    </row>
    <row r="61" spans="1:2" x14ac:dyDescent="0.3">
      <c r="A61" s="5" t="s">
        <v>5</v>
      </c>
      <c r="B61" s="7">
        <v>530</v>
      </c>
    </row>
    <row r="67" spans="1:2" x14ac:dyDescent="0.3">
      <c r="A67" t="s">
        <v>74</v>
      </c>
    </row>
    <row r="68" spans="1:2" x14ac:dyDescent="0.3">
      <c r="A68" s="2" t="s">
        <v>4</v>
      </c>
      <c r="B68" t="s">
        <v>73</v>
      </c>
    </row>
    <row r="69" spans="1:2" x14ac:dyDescent="0.3">
      <c r="A69" s="5" t="s">
        <v>40</v>
      </c>
      <c r="B69" s="7">
        <v>259</v>
      </c>
    </row>
    <row r="70" spans="1:2" x14ac:dyDescent="0.3">
      <c r="A70" s="5" t="s">
        <v>45</v>
      </c>
      <c r="B70" s="7">
        <v>271</v>
      </c>
    </row>
    <row r="71" spans="1:2" x14ac:dyDescent="0.3">
      <c r="A71" s="5" t="s">
        <v>5</v>
      </c>
      <c r="B71" s="7">
        <v>530</v>
      </c>
    </row>
    <row r="78" spans="1:2" x14ac:dyDescent="0.3">
      <c r="A78" s="2" t="s">
        <v>4</v>
      </c>
      <c r="B78" t="s">
        <v>75</v>
      </c>
    </row>
    <row r="79" spans="1:2" x14ac:dyDescent="0.3">
      <c r="A79" s="5" t="s">
        <v>66</v>
      </c>
      <c r="B79" s="7">
        <v>7</v>
      </c>
    </row>
    <row r="80" spans="1:2" x14ac:dyDescent="0.3">
      <c r="A80" s="5" t="s">
        <v>65</v>
      </c>
      <c r="B80" s="7">
        <v>10</v>
      </c>
    </row>
    <row r="81" spans="1:2" x14ac:dyDescent="0.3">
      <c r="A81" s="5" t="s">
        <v>63</v>
      </c>
      <c r="B81" s="7">
        <v>12</v>
      </c>
    </row>
    <row r="82" spans="1:2" x14ac:dyDescent="0.3">
      <c r="A82" s="5" t="s">
        <v>64</v>
      </c>
      <c r="B82" s="7">
        <v>14</v>
      </c>
    </row>
    <row r="83" spans="1:2" x14ac:dyDescent="0.3">
      <c r="A83" s="5" t="s">
        <v>62</v>
      </c>
      <c r="B83" s="7">
        <v>18</v>
      </c>
    </row>
    <row r="84" spans="1:2" x14ac:dyDescent="0.3">
      <c r="A84" s="5" t="s">
        <v>53</v>
      </c>
      <c r="B84" s="7">
        <v>53</v>
      </c>
    </row>
    <row r="85" spans="1:2" x14ac:dyDescent="0.3">
      <c r="A85" s="5" t="s">
        <v>51</v>
      </c>
      <c r="B85" s="7">
        <v>109</v>
      </c>
    </row>
    <row r="86" spans="1:2" x14ac:dyDescent="0.3">
      <c r="A86" s="5" t="s">
        <v>41</v>
      </c>
      <c r="B86" s="7">
        <v>307</v>
      </c>
    </row>
    <row r="87" spans="1:2" x14ac:dyDescent="0.3">
      <c r="A87" s="5" t="s">
        <v>5</v>
      </c>
      <c r="B87" s="7">
        <v>530</v>
      </c>
    </row>
    <row r="95" spans="1:2" x14ac:dyDescent="0.3">
      <c r="A95" s="2" t="s">
        <v>4</v>
      </c>
    </row>
    <row r="96" spans="1:2" x14ac:dyDescent="0.3">
      <c r="A96" s="5" t="s">
        <v>6</v>
      </c>
    </row>
    <row r="97" spans="1:1" x14ac:dyDescent="0.3">
      <c r="A97" s="5"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6AC72-0CFF-4956-85EB-27231300D775}">
  <dimension ref="A1:V58"/>
  <sheetViews>
    <sheetView tabSelected="1" zoomScale="97" workbookViewId="0">
      <selection activeCell="U14" sqref="U14"/>
    </sheetView>
  </sheetViews>
  <sheetFormatPr defaultRowHeight="14.4" x14ac:dyDescent="0.3"/>
  <sheetData>
    <row r="1" spans="1:22" x14ac:dyDescent="0.3">
      <c r="A1" s="4"/>
      <c r="B1" s="4"/>
      <c r="C1" s="4"/>
      <c r="D1" s="4"/>
      <c r="E1" s="4"/>
      <c r="F1" s="4"/>
      <c r="G1" s="4"/>
      <c r="H1" s="4"/>
      <c r="I1" s="4"/>
      <c r="J1" s="4"/>
      <c r="K1" s="4"/>
      <c r="L1" s="4"/>
      <c r="M1" s="4"/>
      <c r="N1" s="4"/>
      <c r="O1" s="4"/>
      <c r="P1" s="4"/>
      <c r="Q1" s="4"/>
      <c r="R1" s="4"/>
      <c r="S1" s="4"/>
      <c r="T1" s="4"/>
      <c r="U1" s="4"/>
      <c r="V1" s="4"/>
    </row>
    <row r="2" spans="1:22" x14ac:dyDescent="0.3">
      <c r="A2" s="4"/>
      <c r="B2" s="4"/>
      <c r="C2" s="4"/>
      <c r="D2" s="4"/>
      <c r="E2" s="4"/>
      <c r="F2" s="4"/>
      <c r="G2" s="4"/>
      <c r="H2" s="4"/>
      <c r="I2" s="4"/>
      <c r="J2" s="4"/>
      <c r="K2" s="4"/>
      <c r="L2" s="4"/>
      <c r="M2" s="4"/>
      <c r="N2" s="4"/>
      <c r="O2" s="4"/>
      <c r="P2" s="4"/>
      <c r="Q2" s="4"/>
      <c r="R2" s="4"/>
      <c r="S2" s="4"/>
      <c r="T2" s="4"/>
      <c r="U2" s="4"/>
      <c r="V2" s="4"/>
    </row>
    <row r="3" spans="1:22" x14ac:dyDescent="0.3">
      <c r="A3" s="4"/>
      <c r="B3" s="4"/>
      <c r="C3" s="4"/>
      <c r="D3" s="4"/>
      <c r="E3" s="4"/>
      <c r="F3" s="4"/>
      <c r="G3" s="4"/>
      <c r="H3" s="4"/>
      <c r="I3" s="4"/>
      <c r="J3" s="4"/>
      <c r="K3" s="4"/>
      <c r="L3" s="4"/>
      <c r="M3" s="4"/>
      <c r="N3" s="4"/>
      <c r="O3" s="4"/>
      <c r="P3" s="4"/>
      <c r="Q3" s="4"/>
      <c r="R3" s="4"/>
      <c r="S3" s="4"/>
      <c r="T3" s="4"/>
      <c r="U3" s="4"/>
      <c r="V3" s="4"/>
    </row>
    <row r="4" spans="1:22" ht="17.399999999999999" customHeight="1" x14ac:dyDescent="0.3">
      <c r="A4" s="4"/>
      <c r="B4" s="4"/>
      <c r="C4" s="4"/>
      <c r="D4" s="4"/>
      <c r="E4" s="4"/>
      <c r="F4" s="4"/>
      <c r="G4" s="4"/>
      <c r="H4" s="4"/>
      <c r="I4" s="4"/>
      <c r="J4" s="4"/>
      <c r="K4" s="4"/>
      <c r="L4" s="4"/>
      <c r="M4" s="4"/>
      <c r="N4" s="4"/>
      <c r="O4" s="4"/>
      <c r="P4" s="4"/>
      <c r="Q4" s="4"/>
      <c r="R4" s="4"/>
      <c r="S4" s="4"/>
      <c r="T4" s="4"/>
      <c r="U4" s="4"/>
      <c r="V4" s="4"/>
    </row>
    <row r="5" spans="1:22" x14ac:dyDescent="0.3">
      <c r="A5" s="4"/>
      <c r="B5" s="4"/>
      <c r="C5" s="4"/>
      <c r="D5" s="4"/>
      <c r="E5" s="4"/>
      <c r="F5" s="4"/>
      <c r="G5" s="4"/>
      <c r="H5" s="4"/>
      <c r="I5" s="4"/>
      <c r="J5" s="4"/>
      <c r="K5" s="4"/>
      <c r="L5" s="4"/>
      <c r="M5" s="4"/>
      <c r="N5" s="4"/>
      <c r="O5" s="4"/>
      <c r="P5" s="4"/>
      <c r="Q5" s="4"/>
      <c r="R5" s="4"/>
      <c r="S5" s="4"/>
      <c r="T5" s="4"/>
      <c r="U5" s="4"/>
      <c r="V5" s="4"/>
    </row>
    <row r="6" spans="1:22" x14ac:dyDescent="0.3">
      <c r="A6" s="4"/>
      <c r="B6" s="4"/>
      <c r="C6" s="4"/>
      <c r="D6" s="4"/>
      <c r="E6" s="4"/>
      <c r="F6" s="4"/>
      <c r="G6" s="4"/>
      <c r="H6" s="4"/>
      <c r="I6" s="4"/>
      <c r="J6" s="4"/>
      <c r="K6" s="4"/>
      <c r="L6" s="4"/>
      <c r="M6" s="4"/>
      <c r="N6" s="4"/>
      <c r="O6" s="4"/>
      <c r="P6" s="4"/>
      <c r="Q6" s="4"/>
      <c r="R6" s="4"/>
      <c r="S6" s="4"/>
      <c r="T6" s="4"/>
      <c r="U6" s="4"/>
      <c r="V6" s="4"/>
    </row>
    <row r="7" spans="1:22" x14ac:dyDescent="0.3">
      <c r="A7" s="4"/>
      <c r="B7" s="4"/>
      <c r="C7" s="4"/>
      <c r="D7" s="4"/>
      <c r="E7" s="4"/>
      <c r="F7" s="4"/>
      <c r="G7" s="4"/>
      <c r="H7" s="4"/>
      <c r="I7" s="4"/>
      <c r="J7" s="4"/>
      <c r="K7" s="4"/>
      <c r="L7" s="4"/>
      <c r="M7" s="4"/>
      <c r="N7" s="4"/>
      <c r="O7" s="4"/>
      <c r="P7" s="4"/>
      <c r="Q7" s="4"/>
      <c r="R7" s="4"/>
      <c r="S7" s="4"/>
      <c r="T7" s="4"/>
      <c r="U7" s="4"/>
      <c r="V7" s="4"/>
    </row>
    <row r="8" spans="1:22" x14ac:dyDescent="0.3">
      <c r="A8" s="4"/>
      <c r="B8" s="4"/>
      <c r="C8" s="4"/>
      <c r="D8" s="4"/>
      <c r="E8" s="4"/>
      <c r="F8" s="4"/>
      <c r="G8" s="4"/>
      <c r="H8" s="4"/>
      <c r="I8" s="4"/>
      <c r="J8" s="4"/>
      <c r="K8" s="4"/>
      <c r="L8" s="4"/>
      <c r="M8" s="4"/>
      <c r="N8" s="4"/>
      <c r="O8" s="4"/>
      <c r="P8" s="4"/>
      <c r="Q8" s="4"/>
      <c r="R8" s="4"/>
      <c r="S8" s="4"/>
      <c r="T8" s="4"/>
      <c r="U8" s="4"/>
      <c r="V8" s="4"/>
    </row>
    <row r="9" spans="1:22" x14ac:dyDescent="0.3">
      <c r="A9" s="4"/>
      <c r="B9" s="4"/>
      <c r="C9" s="4"/>
      <c r="D9" s="4"/>
      <c r="E9" s="4"/>
      <c r="F9" s="4"/>
      <c r="G9" s="4"/>
      <c r="H9" s="4"/>
      <c r="I9" s="4"/>
      <c r="J9" s="4"/>
      <c r="K9" s="4"/>
      <c r="L9" s="4"/>
      <c r="M9" s="4"/>
      <c r="N9" s="4"/>
      <c r="O9" s="4"/>
      <c r="P9" s="4"/>
      <c r="Q9" s="4"/>
      <c r="R9" s="4"/>
      <c r="S9" s="4"/>
      <c r="T9" s="4"/>
      <c r="U9" s="4"/>
      <c r="V9" s="4"/>
    </row>
    <row r="10" spans="1:22" x14ac:dyDescent="0.3">
      <c r="A10" s="4"/>
      <c r="B10" s="4"/>
      <c r="C10" s="4"/>
      <c r="D10" s="4"/>
      <c r="E10" s="4"/>
      <c r="F10" s="4"/>
      <c r="G10" s="4"/>
      <c r="H10" s="4"/>
      <c r="I10" s="4"/>
      <c r="J10" s="4"/>
      <c r="K10" s="4"/>
      <c r="L10" s="4"/>
      <c r="M10" s="4"/>
      <c r="N10" s="4"/>
      <c r="O10" s="4"/>
      <c r="P10" s="4"/>
      <c r="Q10" s="4"/>
      <c r="R10" s="4"/>
      <c r="S10" s="4"/>
      <c r="T10" s="4"/>
      <c r="U10" s="4"/>
      <c r="V10" s="4"/>
    </row>
    <row r="11" spans="1:22" x14ac:dyDescent="0.3">
      <c r="A11" s="4"/>
      <c r="B11" s="4"/>
      <c r="C11" s="4"/>
      <c r="D11" s="4"/>
      <c r="E11" s="4"/>
      <c r="F11" s="4"/>
      <c r="G11" s="4"/>
      <c r="H11" s="4"/>
      <c r="I11" s="4"/>
      <c r="J11" s="4"/>
      <c r="K11" s="4"/>
      <c r="L11" s="4"/>
      <c r="M11" s="4"/>
      <c r="N11" s="4"/>
      <c r="O11" s="4"/>
      <c r="P11" s="4"/>
      <c r="Q11" s="4"/>
      <c r="R11" s="4"/>
      <c r="S11" s="4"/>
      <c r="T11" s="4"/>
      <c r="U11" s="4"/>
      <c r="V11" s="4"/>
    </row>
    <row r="12" spans="1:22" x14ac:dyDescent="0.3">
      <c r="A12" s="4"/>
      <c r="B12" s="4"/>
      <c r="C12" s="4"/>
      <c r="D12" s="4"/>
      <c r="E12" s="4"/>
      <c r="F12" s="4"/>
      <c r="G12" s="4"/>
      <c r="H12" s="4"/>
      <c r="I12" s="4"/>
      <c r="J12" s="4"/>
      <c r="K12" s="4"/>
      <c r="L12" s="4"/>
      <c r="M12" s="4"/>
      <c r="N12" s="4"/>
      <c r="O12" s="4"/>
      <c r="P12" s="4"/>
      <c r="Q12" s="4"/>
      <c r="R12" s="4"/>
      <c r="S12" s="4"/>
      <c r="T12" s="4"/>
      <c r="U12" s="4"/>
      <c r="V12" s="4"/>
    </row>
    <row r="13" spans="1:22" x14ac:dyDescent="0.3">
      <c r="A13" s="4"/>
      <c r="B13" s="4"/>
      <c r="C13" s="4"/>
      <c r="D13" s="4"/>
      <c r="E13" s="4"/>
      <c r="F13" s="4"/>
      <c r="G13" s="4"/>
      <c r="H13" s="4"/>
      <c r="I13" s="4"/>
      <c r="J13" s="4"/>
      <c r="K13" s="4"/>
      <c r="L13" s="4"/>
      <c r="M13" s="4"/>
      <c r="N13" s="4"/>
      <c r="O13" s="4"/>
      <c r="P13" s="4"/>
      <c r="Q13" s="4"/>
      <c r="R13" s="4"/>
      <c r="S13" s="4"/>
      <c r="T13" s="4"/>
      <c r="U13" s="4"/>
      <c r="V13" s="4"/>
    </row>
    <row r="14" spans="1:22" x14ac:dyDescent="0.3">
      <c r="A14" s="4"/>
      <c r="B14" s="4"/>
      <c r="C14" s="4"/>
      <c r="D14" s="4"/>
      <c r="E14" s="4"/>
      <c r="F14" s="4"/>
      <c r="G14" s="4"/>
      <c r="H14" s="4"/>
      <c r="I14" s="4"/>
      <c r="J14" s="4"/>
      <c r="K14" s="4"/>
      <c r="L14" s="4"/>
      <c r="M14" s="4"/>
      <c r="N14" s="4"/>
      <c r="O14" s="4"/>
      <c r="P14" s="4"/>
      <c r="Q14" s="4"/>
      <c r="R14" s="4"/>
      <c r="S14" s="4"/>
      <c r="T14" s="4"/>
      <c r="U14" s="4"/>
      <c r="V14" s="4"/>
    </row>
    <row r="15" spans="1:22" x14ac:dyDescent="0.3">
      <c r="A15" s="4"/>
      <c r="B15" s="4"/>
      <c r="C15" s="4"/>
      <c r="D15" s="4"/>
      <c r="E15" s="4"/>
      <c r="F15" s="4"/>
      <c r="G15" s="4"/>
      <c r="H15" s="4"/>
      <c r="I15" s="4"/>
      <c r="J15" s="4"/>
      <c r="K15" s="4"/>
      <c r="L15" s="4"/>
      <c r="M15" s="4"/>
      <c r="N15" s="4"/>
      <c r="O15" s="4"/>
      <c r="P15" s="4"/>
      <c r="Q15" s="4"/>
      <c r="R15" s="4"/>
      <c r="S15" s="4"/>
      <c r="T15" s="4"/>
      <c r="U15" s="4"/>
      <c r="V15" s="4"/>
    </row>
    <row r="16" spans="1:22" x14ac:dyDescent="0.3">
      <c r="A16" s="4"/>
      <c r="B16" s="4"/>
      <c r="C16" s="4"/>
      <c r="D16" s="4"/>
      <c r="E16" s="4"/>
      <c r="F16" s="4"/>
      <c r="G16" s="4"/>
      <c r="H16" s="4"/>
      <c r="I16" s="4"/>
      <c r="J16" s="4"/>
      <c r="K16" s="4"/>
      <c r="L16" s="4"/>
      <c r="M16" s="4"/>
      <c r="N16" s="4"/>
      <c r="O16" s="4"/>
      <c r="P16" s="4"/>
      <c r="Q16" s="4"/>
      <c r="R16" s="4"/>
      <c r="S16" s="4"/>
      <c r="T16" s="4"/>
      <c r="U16" s="4"/>
      <c r="V16" s="4"/>
    </row>
    <row r="17" spans="1:22" x14ac:dyDescent="0.3">
      <c r="A17" s="4"/>
      <c r="B17" s="4"/>
      <c r="C17" s="4"/>
      <c r="D17" s="4"/>
      <c r="E17" s="4"/>
      <c r="F17" s="4"/>
      <c r="G17" s="4"/>
      <c r="H17" s="4"/>
      <c r="I17" s="4"/>
      <c r="J17" s="4"/>
      <c r="K17" s="4"/>
      <c r="L17" s="4"/>
      <c r="M17" s="4"/>
      <c r="N17" s="4"/>
      <c r="O17" s="4"/>
      <c r="P17" s="4"/>
      <c r="Q17" s="4"/>
      <c r="R17" s="4"/>
      <c r="S17" s="4"/>
      <c r="T17" s="4"/>
      <c r="U17" s="4"/>
      <c r="V17" s="4"/>
    </row>
    <row r="18" spans="1:22" x14ac:dyDescent="0.3">
      <c r="A18" s="4"/>
      <c r="B18" s="4"/>
      <c r="C18" s="4"/>
      <c r="D18" s="4"/>
      <c r="E18" s="4"/>
      <c r="F18" s="4"/>
      <c r="G18" s="4"/>
      <c r="H18" s="4"/>
      <c r="I18" s="4"/>
      <c r="J18" s="4"/>
      <c r="K18" s="4"/>
      <c r="L18" s="4"/>
      <c r="M18" s="4"/>
      <c r="N18" s="4"/>
      <c r="O18" s="4"/>
      <c r="P18" s="4"/>
      <c r="Q18" s="4"/>
      <c r="R18" s="4"/>
      <c r="S18" s="4"/>
      <c r="T18" s="4"/>
      <c r="U18" s="4"/>
      <c r="V18" s="4"/>
    </row>
    <row r="19" spans="1:22" x14ac:dyDescent="0.3">
      <c r="A19" s="4"/>
      <c r="B19" s="4"/>
      <c r="C19" s="4"/>
      <c r="D19" s="4"/>
      <c r="E19" s="4"/>
      <c r="F19" s="4"/>
      <c r="G19" s="4"/>
      <c r="H19" s="4"/>
      <c r="I19" s="4"/>
      <c r="J19" s="4"/>
      <c r="K19" s="4"/>
      <c r="L19" s="4"/>
      <c r="M19" s="4"/>
      <c r="N19" s="4"/>
      <c r="O19" s="4"/>
      <c r="P19" s="4"/>
      <c r="Q19" s="4"/>
      <c r="R19" s="4"/>
      <c r="S19" s="4"/>
      <c r="T19" s="4"/>
      <c r="U19" s="4"/>
      <c r="V19" s="4"/>
    </row>
    <row r="20" spans="1:22" x14ac:dyDescent="0.3">
      <c r="A20" s="4"/>
      <c r="B20" s="4"/>
      <c r="C20" s="4"/>
      <c r="D20" s="4"/>
      <c r="E20" s="4"/>
      <c r="F20" s="4"/>
      <c r="G20" s="4"/>
      <c r="H20" s="4"/>
      <c r="I20" s="4"/>
      <c r="J20" s="4"/>
      <c r="K20" s="4"/>
      <c r="L20" s="4"/>
      <c r="M20" s="4"/>
      <c r="N20" s="4"/>
      <c r="O20" s="4"/>
      <c r="P20" s="4"/>
      <c r="Q20" s="4"/>
      <c r="R20" s="4"/>
      <c r="S20" s="4"/>
      <c r="T20" s="4"/>
      <c r="U20" s="4"/>
      <c r="V20" s="4"/>
    </row>
    <row r="21" spans="1:22" x14ac:dyDescent="0.3">
      <c r="A21" s="4"/>
      <c r="B21" s="4"/>
      <c r="C21" s="4"/>
      <c r="D21" s="4"/>
      <c r="E21" s="4"/>
      <c r="F21" s="4"/>
      <c r="G21" s="4"/>
      <c r="H21" s="4"/>
      <c r="I21" s="4"/>
      <c r="J21" s="4"/>
      <c r="K21" s="4"/>
      <c r="L21" s="4"/>
      <c r="M21" s="4"/>
      <c r="N21" s="4"/>
      <c r="O21" s="4"/>
      <c r="P21" s="4"/>
      <c r="Q21" s="4"/>
      <c r="R21" s="4"/>
      <c r="S21" s="4"/>
      <c r="T21" s="4"/>
      <c r="U21" s="4"/>
      <c r="V21" s="4"/>
    </row>
    <row r="22" spans="1:22" x14ac:dyDescent="0.3">
      <c r="A22" s="4"/>
      <c r="B22" s="4"/>
      <c r="C22" s="4"/>
      <c r="D22" s="4"/>
      <c r="E22" s="4"/>
      <c r="F22" s="4"/>
      <c r="G22" s="4"/>
      <c r="H22" s="4"/>
      <c r="I22" s="4"/>
      <c r="J22" s="4"/>
      <c r="K22" s="4"/>
      <c r="L22" s="4"/>
      <c r="M22" s="4"/>
      <c r="N22" s="4"/>
      <c r="O22" s="4"/>
      <c r="P22" s="4"/>
      <c r="Q22" s="4"/>
      <c r="R22" s="4"/>
      <c r="S22" s="4"/>
      <c r="T22" s="4"/>
      <c r="U22" s="4"/>
      <c r="V22" s="4"/>
    </row>
    <row r="23" spans="1:22" x14ac:dyDescent="0.3">
      <c r="A23" s="4"/>
      <c r="B23" s="4"/>
      <c r="C23" s="4"/>
      <c r="D23" s="4"/>
      <c r="E23" s="4"/>
      <c r="F23" s="4"/>
      <c r="G23" s="4"/>
      <c r="H23" s="4"/>
      <c r="I23" s="4"/>
      <c r="J23" s="4"/>
      <c r="K23" s="4"/>
      <c r="L23" s="4"/>
      <c r="M23" s="4"/>
      <c r="N23" s="4"/>
      <c r="O23" s="4"/>
      <c r="P23" s="4"/>
      <c r="Q23" s="4"/>
      <c r="R23" s="4"/>
      <c r="S23" s="4"/>
      <c r="U23" s="4"/>
      <c r="V23" s="4"/>
    </row>
    <row r="24" spans="1:22" x14ac:dyDescent="0.3">
      <c r="A24" s="4"/>
      <c r="B24" s="4"/>
      <c r="C24" s="4"/>
      <c r="D24" s="4"/>
      <c r="E24" s="4"/>
      <c r="F24" s="4"/>
      <c r="G24" s="4"/>
      <c r="H24" s="4"/>
      <c r="I24" s="4"/>
      <c r="J24" s="4"/>
      <c r="K24" s="4"/>
      <c r="L24" s="4"/>
      <c r="M24" s="4"/>
      <c r="N24" s="4"/>
      <c r="O24" s="4"/>
      <c r="P24" s="4"/>
      <c r="Q24" s="4"/>
      <c r="R24" s="4"/>
      <c r="S24" s="4"/>
      <c r="T24" s="4"/>
      <c r="U24" s="4"/>
      <c r="V24" s="4"/>
    </row>
    <row r="25" spans="1:22" x14ac:dyDescent="0.3">
      <c r="A25" s="4"/>
      <c r="B25" s="4"/>
      <c r="C25" s="4"/>
      <c r="D25" s="4"/>
      <c r="E25" s="4"/>
      <c r="F25" s="4"/>
      <c r="G25" s="4"/>
      <c r="H25" s="4"/>
      <c r="I25" s="4"/>
      <c r="J25" s="4"/>
      <c r="K25" s="4"/>
      <c r="L25" s="4"/>
      <c r="M25" s="4"/>
      <c r="N25" s="4"/>
      <c r="O25" s="4"/>
      <c r="P25" s="4"/>
      <c r="Q25" s="4"/>
      <c r="R25" s="4"/>
      <c r="S25" s="4"/>
      <c r="T25" s="4"/>
      <c r="U25" s="4"/>
      <c r="V25" s="4"/>
    </row>
    <row r="26" spans="1:22" x14ac:dyDescent="0.3">
      <c r="A26" s="4"/>
      <c r="B26" s="4"/>
      <c r="C26" s="4"/>
      <c r="D26" s="4"/>
      <c r="E26" s="4"/>
      <c r="F26" s="4"/>
      <c r="G26" s="4"/>
      <c r="H26" s="4"/>
      <c r="I26" s="4"/>
      <c r="J26" s="4"/>
      <c r="K26" s="4"/>
      <c r="L26" s="4"/>
      <c r="M26" s="4"/>
      <c r="N26" s="4"/>
      <c r="O26" s="4"/>
      <c r="P26" s="4"/>
      <c r="Q26" s="4"/>
      <c r="R26" s="4"/>
      <c r="S26" s="4"/>
      <c r="T26" s="4"/>
      <c r="U26" s="4"/>
      <c r="V26" s="4"/>
    </row>
    <row r="27" spans="1:22" x14ac:dyDescent="0.3">
      <c r="A27" s="4"/>
      <c r="B27" s="4"/>
      <c r="C27" s="4"/>
      <c r="D27" s="4"/>
      <c r="E27" s="4"/>
      <c r="F27" s="4"/>
      <c r="G27" s="4"/>
      <c r="H27" s="4"/>
      <c r="I27" s="4"/>
      <c r="J27" s="4"/>
      <c r="K27" s="4"/>
      <c r="L27" s="4"/>
      <c r="M27" s="4"/>
      <c r="N27" s="4"/>
      <c r="O27" s="4"/>
      <c r="P27" s="4"/>
      <c r="Q27" s="4"/>
      <c r="R27" s="4"/>
      <c r="S27" s="4"/>
      <c r="T27" s="4"/>
      <c r="U27" s="4"/>
      <c r="V27" s="4"/>
    </row>
    <row r="28" spans="1:22" x14ac:dyDescent="0.3">
      <c r="A28" s="4"/>
      <c r="B28" s="4"/>
      <c r="C28" s="4"/>
      <c r="D28" s="4"/>
      <c r="E28" s="4"/>
      <c r="F28" s="4"/>
      <c r="G28" s="4"/>
      <c r="H28" s="4"/>
      <c r="I28" s="4"/>
      <c r="J28" s="4"/>
      <c r="K28" s="4"/>
      <c r="L28" s="4"/>
      <c r="M28" s="4"/>
      <c r="N28" s="4"/>
      <c r="O28" s="4"/>
      <c r="P28" s="4"/>
      <c r="Q28" s="4"/>
      <c r="R28" s="4"/>
      <c r="S28" s="4"/>
      <c r="T28" s="4"/>
      <c r="U28" s="4"/>
      <c r="V28" s="4"/>
    </row>
    <row r="29" spans="1:22" x14ac:dyDescent="0.3">
      <c r="A29" s="4"/>
      <c r="B29" s="4"/>
      <c r="C29" s="4"/>
      <c r="D29" s="4"/>
      <c r="E29" s="4"/>
      <c r="F29" s="4"/>
      <c r="G29" s="4"/>
      <c r="H29" s="4"/>
      <c r="I29" s="4"/>
      <c r="J29" s="4"/>
      <c r="K29" s="4"/>
      <c r="L29" s="4"/>
      <c r="M29" s="4"/>
      <c r="N29" s="4"/>
      <c r="O29" s="4"/>
      <c r="P29" s="4"/>
      <c r="Q29" s="4"/>
      <c r="R29" s="4"/>
      <c r="S29" s="4"/>
      <c r="T29" s="4"/>
      <c r="U29" s="4"/>
      <c r="V29" s="4"/>
    </row>
    <row r="30" spans="1:22" x14ac:dyDescent="0.3">
      <c r="A30" s="4"/>
      <c r="B30" s="4"/>
      <c r="C30" s="4"/>
      <c r="D30" s="4"/>
      <c r="E30" s="4"/>
      <c r="F30" s="4"/>
      <c r="G30" s="4"/>
      <c r="H30" s="4"/>
      <c r="I30" s="4"/>
      <c r="J30" s="4"/>
      <c r="K30" s="4"/>
      <c r="L30" s="4"/>
      <c r="M30" s="4"/>
      <c r="N30" s="4"/>
      <c r="O30" s="4"/>
      <c r="P30" s="4"/>
      <c r="Q30" s="4"/>
      <c r="R30" s="4"/>
      <c r="S30" s="4"/>
      <c r="T30" s="4"/>
      <c r="U30" s="4"/>
      <c r="V30" s="4"/>
    </row>
    <row r="31" spans="1:22" x14ac:dyDescent="0.3">
      <c r="A31" s="4"/>
      <c r="B31" s="4"/>
      <c r="C31" s="4"/>
      <c r="D31" s="4"/>
      <c r="E31" s="4"/>
      <c r="F31" s="4"/>
      <c r="G31" s="4"/>
      <c r="H31" s="4"/>
      <c r="I31" s="4"/>
      <c r="J31" s="4"/>
      <c r="K31" s="4"/>
      <c r="L31" s="4"/>
      <c r="M31" s="4"/>
      <c r="N31" s="4"/>
      <c r="O31" s="4"/>
      <c r="P31" s="4"/>
      <c r="Q31" s="4"/>
      <c r="R31" s="4"/>
      <c r="S31" s="4"/>
      <c r="T31" s="4"/>
      <c r="U31" s="4"/>
      <c r="V31" s="4"/>
    </row>
    <row r="32" spans="1:22" x14ac:dyDescent="0.3">
      <c r="A32" s="4"/>
      <c r="B32" s="4"/>
      <c r="C32" s="4"/>
      <c r="D32" s="4"/>
      <c r="E32" s="4"/>
      <c r="F32" s="4"/>
      <c r="G32" s="4"/>
      <c r="H32" s="4"/>
      <c r="I32" s="4"/>
      <c r="J32" s="4"/>
      <c r="K32" s="4"/>
      <c r="L32" s="4"/>
      <c r="M32" s="4"/>
      <c r="N32" s="4"/>
      <c r="O32" s="4"/>
      <c r="P32" s="4"/>
      <c r="Q32" s="4"/>
      <c r="R32" s="4"/>
      <c r="S32" s="4"/>
      <c r="T32" s="4"/>
      <c r="U32" s="4"/>
      <c r="V32" s="4"/>
    </row>
    <row r="33" spans="1:22" x14ac:dyDescent="0.3">
      <c r="A33" s="4"/>
      <c r="B33" s="4"/>
      <c r="C33" s="4"/>
      <c r="D33" s="4"/>
      <c r="E33" s="4"/>
      <c r="F33" s="4"/>
      <c r="G33" s="4"/>
      <c r="H33" s="4"/>
      <c r="I33" s="4"/>
      <c r="J33" s="4"/>
      <c r="K33" s="4"/>
      <c r="L33" s="4"/>
      <c r="M33" s="4"/>
      <c r="N33" s="4"/>
      <c r="O33" s="4"/>
      <c r="P33" s="4"/>
      <c r="Q33" s="4"/>
      <c r="R33" s="4"/>
      <c r="S33" s="4"/>
      <c r="T33" s="4"/>
      <c r="U33" s="4"/>
      <c r="V33" s="4"/>
    </row>
    <row r="34" spans="1:22" x14ac:dyDescent="0.3">
      <c r="A34" s="4"/>
      <c r="B34" s="4"/>
      <c r="C34" s="4"/>
      <c r="D34" s="4"/>
      <c r="E34" s="4"/>
      <c r="F34" s="4"/>
      <c r="G34" s="4"/>
      <c r="H34" s="4"/>
      <c r="I34" s="4"/>
      <c r="J34" s="4"/>
      <c r="K34" s="4"/>
      <c r="L34" s="4"/>
      <c r="M34" s="4"/>
      <c r="N34" s="4"/>
      <c r="O34" s="4"/>
      <c r="P34" s="4"/>
      <c r="Q34" s="4"/>
      <c r="R34" s="4"/>
      <c r="S34" s="4"/>
      <c r="T34" s="4"/>
      <c r="U34" s="4"/>
      <c r="V34" s="4"/>
    </row>
    <row r="35" spans="1:22" x14ac:dyDescent="0.3">
      <c r="A35" s="4"/>
      <c r="B35" s="4"/>
      <c r="C35" s="4"/>
      <c r="D35" s="4"/>
      <c r="E35" s="4"/>
      <c r="F35" s="4"/>
      <c r="G35" s="4"/>
      <c r="H35" s="4"/>
      <c r="I35" s="4"/>
      <c r="J35" s="4"/>
      <c r="K35" s="4"/>
      <c r="L35" s="4"/>
      <c r="M35" s="4"/>
      <c r="N35" s="4"/>
      <c r="O35" s="4"/>
      <c r="P35" s="4"/>
      <c r="Q35" s="4"/>
      <c r="R35" s="4"/>
      <c r="S35" s="4"/>
      <c r="T35" s="4"/>
      <c r="U35" s="4"/>
      <c r="V35" s="4"/>
    </row>
    <row r="36" spans="1:22" x14ac:dyDescent="0.3">
      <c r="A36" s="4"/>
      <c r="B36" s="4"/>
      <c r="C36" s="4"/>
      <c r="D36" s="4"/>
      <c r="E36" s="4"/>
      <c r="F36" s="4"/>
      <c r="G36" s="4"/>
      <c r="H36" s="4"/>
      <c r="I36" s="4"/>
      <c r="J36" s="4"/>
      <c r="K36" s="4"/>
      <c r="L36" s="4"/>
      <c r="M36" s="4"/>
      <c r="N36" s="4"/>
      <c r="O36" s="4"/>
      <c r="P36" s="4"/>
      <c r="Q36" s="4"/>
      <c r="R36" s="4"/>
      <c r="S36" s="4"/>
      <c r="T36" s="4"/>
      <c r="U36" s="4"/>
      <c r="V36" s="4"/>
    </row>
    <row r="37" spans="1:22" x14ac:dyDescent="0.3">
      <c r="A37" s="4"/>
      <c r="B37" s="4"/>
      <c r="C37" s="4"/>
      <c r="D37" s="4"/>
      <c r="E37" s="4"/>
      <c r="F37" s="4"/>
      <c r="G37" s="4"/>
      <c r="H37" s="4"/>
      <c r="I37" s="4"/>
      <c r="J37" s="4"/>
      <c r="K37" s="4"/>
      <c r="L37" s="4"/>
      <c r="M37" s="4"/>
      <c r="N37" s="4"/>
      <c r="O37" s="4"/>
      <c r="P37" s="4"/>
      <c r="Q37" s="4"/>
      <c r="R37" s="4"/>
      <c r="S37" s="4"/>
      <c r="T37" s="4"/>
      <c r="U37" s="4"/>
      <c r="V37" s="4"/>
    </row>
    <row r="38" spans="1:22" x14ac:dyDescent="0.3">
      <c r="A38" s="4"/>
      <c r="B38" s="4"/>
      <c r="C38" s="4"/>
      <c r="D38" s="4"/>
      <c r="E38" s="4"/>
      <c r="F38" s="4"/>
      <c r="G38" s="4"/>
      <c r="H38" s="4"/>
      <c r="I38" s="4"/>
      <c r="J38" s="4"/>
      <c r="K38" s="4"/>
      <c r="L38" s="4"/>
      <c r="M38" s="4"/>
      <c r="N38" s="4"/>
      <c r="O38" s="4"/>
      <c r="P38" s="4"/>
      <c r="Q38" s="4"/>
      <c r="R38" s="4"/>
      <c r="S38" s="4"/>
      <c r="T38" s="4"/>
      <c r="U38" s="4"/>
      <c r="V38" s="4"/>
    </row>
    <row r="39" spans="1:22" x14ac:dyDescent="0.3">
      <c r="A39" s="4"/>
      <c r="B39" s="4"/>
      <c r="C39" s="4"/>
      <c r="D39" s="4"/>
      <c r="E39" s="4"/>
      <c r="F39" s="4"/>
      <c r="G39" s="4"/>
      <c r="H39" s="4"/>
      <c r="I39" s="4"/>
      <c r="J39" s="4"/>
      <c r="K39" s="4"/>
      <c r="L39" s="4"/>
      <c r="M39" s="4"/>
      <c r="N39" s="4"/>
      <c r="O39" s="4"/>
      <c r="P39" s="4"/>
      <c r="Q39" s="4"/>
      <c r="R39" s="4"/>
      <c r="S39" s="4"/>
      <c r="T39" s="4"/>
      <c r="U39" s="4"/>
      <c r="V39" s="4"/>
    </row>
    <row r="40" spans="1:22" x14ac:dyDescent="0.3">
      <c r="A40" s="4"/>
      <c r="B40" s="4"/>
      <c r="C40" s="4"/>
      <c r="D40" s="4"/>
      <c r="E40" s="4"/>
      <c r="F40" s="4"/>
      <c r="G40" s="4"/>
      <c r="H40" s="4"/>
      <c r="I40" s="4"/>
      <c r="J40" s="4"/>
      <c r="K40" s="4"/>
      <c r="L40" s="4"/>
      <c r="M40" s="4"/>
      <c r="N40" s="4"/>
      <c r="O40" s="4"/>
      <c r="P40" s="4"/>
      <c r="Q40" s="4"/>
      <c r="R40" s="4"/>
      <c r="S40" s="4"/>
      <c r="T40" s="4"/>
      <c r="U40" s="4"/>
      <c r="V40" s="4"/>
    </row>
    <row r="41" spans="1:22" x14ac:dyDescent="0.3">
      <c r="A41" s="4"/>
      <c r="B41" s="4"/>
      <c r="C41" s="4"/>
      <c r="D41" s="4"/>
      <c r="E41" s="4"/>
      <c r="F41" s="4"/>
      <c r="G41" s="4"/>
      <c r="H41" s="4"/>
      <c r="I41" s="4"/>
      <c r="J41" s="4"/>
      <c r="K41" s="4"/>
      <c r="L41" s="4"/>
      <c r="M41" s="4"/>
      <c r="N41" s="4"/>
      <c r="O41" s="4"/>
      <c r="P41" s="4"/>
      <c r="Q41" s="4"/>
      <c r="R41" s="4"/>
      <c r="S41" s="4"/>
      <c r="T41" s="4"/>
      <c r="U41" s="4"/>
      <c r="V41" s="4"/>
    </row>
    <row r="42" spans="1:22" x14ac:dyDescent="0.3">
      <c r="A42" s="4"/>
      <c r="B42" s="4"/>
      <c r="C42" s="4"/>
      <c r="D42" s="4"/>
      <c r="E42" s="4"/>
      <c r="F42" s="4"/>
      <c r="G42" s="4"/>
      <c r="H42" s="4"/>
      <c r="I42" s="4"/>
      <c r="J42" s="4"/>
      <c r="K42" s="4"/>
      <c r="L42" s="4"/>
      <c r="M42" s="4"/>
      <c r="N42" s="4"/>
      <c r="O42" s="4"/>
      <c r="P42" s="4"/>
      <c r="Q42" s="4"/>
      <c r="R42" s="4"/>
      <c r="S42" s="4"/>
      <c r="T42" s="4"/>
      <c r="U42" s="4"/>
      <c r="V42" s="4"/>
    </row>
    <row r="43" spans="1:22" x14ac:dyDescent="0.3">
      <c r="A43" s="4"/>
      <c r="B43" s="4"/>
      <c r="C43" s="4"/>
      <c r="D43" s="4"/>
      <c r="E43" s="4"/>
      <c r="F43" s="4"/>
      <c r="G43" s="4"/>
      <c r="H43" s="4"/>
      <c r="I43" s="4"/>
      <c r="J43" s="4"/>
      <c r="K43" s="4"/>
      <c r="L43" s="4"/>
      <c r="M43" s="4"/>
      <c r="N43" s="4"/>
      <c r="O43" s="4"/>
      <c r="P43" s="4"/>
      <c r="Q43" s="4"/>
      <c r="R43" s="4"/>
      <c r="S43" s="4"/>
      <c r="T43" s="4"/>
      <c r="U43" s="4"/>
      <c r="V43" s="4"/>
    </row>
    <row r="44" spans="1:22" x14ac:dyDescent="0.3">
      <c r="A44" s="4"/>
      <c r="B44" s="4"/>
      <c r="C44" s="4"/>
      <c r="D44" s="4"/>
      <c r="E44" s="4"/>
      <c r="F44" s="4"/>
      <c r="G44" s="4"/>
      <c r="H44" s="4"/>
      <c r="I44" s="4"/>
      <c r="J44" s="4"/>
      <c r="K44" s="4"/>
      <c r="L44" s="4"/>
      <c r="M44" s="4"/>
      <c r="N44" s="4"/>
      <c r="O44" s="4"/>
      <c r="P44" s="4"/>
      <c r="Q44" s="4"/>
      <c r="R44" s="4"/>
      <c r="S44" s="4"/>
      <c r="T44" s="4"/>
      <c r="U44" s="4"/>
      <c r="V44" s="4"/>
    </row>
    <row r="45" spans="1:22" x14ac:dyDescent="0.3">
      <c r="A45" s="4"/>
      <c r="B45" s="4"/>
      <c r="C45" s="4"/>
      <c r="D45" s="4"/>
      <c r="E45" s="4"/>
      <c r="F45" s="4"/>
      <c r="G45" s="4"/>
      <c r="H45" s="4"/>
      <c r="I45" s="4"/>
      <c r="J45" s="4"/>
      <c r="K45" s="4"/>
      <c r="L45" s="4"/>
      <c r="M45" s="4"/>
      <c r="N45" s="4"/>
      <c r="O45" s="4"/>
      <c r="P45" s="4"/>
      <c r="Q45" s="4"/>
      <c r="R45" s="4"/>
      <c r="S45" s="4"/>
      <c r="T45" s="4"/>
      <c r="U45" s="4"/>
      <c r="V45" s="4"/>
    </row>
    <row r="46" spans="1:22" x14ac:dyDescent="0.3">
      <c r="A46" s="4"/>
      <c r="B46" s="4"/>
      <c r="C46" s="4"/>
      <c r="D46" s="4"/>
      <c r="E46" s="4"/>
      <c r="F46" s="4"/>
      <c r="G46" s="4"/>
      <c r="H46" s="4"/>
      <c r="I46" s="4"/>
      <c r="J46" s="4"/>
      <c r="K46" s="4"/>
      <c r="L46" s="4"/>
      <c r="M46" s="4"/>
      <c r="N46" s="4"/>
      <c r="O46" s="4"/>
      <c r="P46" s="4"/>
      <c r="Q46" s="4"/>
      <c r="R46" s="4"/>
      <c r="S46" s="4"/>
      <c r="T46" s="4"/>
      <c r="U46" s="4"/>
      <c r="V46" s="4"/>
    </row>
    <row r="47" spans="1:22" x14ac:dyDescent="0.3">
      <c r="A47" s="4"/>
      <c r="B47" s="4"/>
      <c r="C47" s="4"/>
      <c r="D47" s="4"/>
      <c r="E47" s="4"/>
      <c r="F47" s="4"/>
      <c r="G47" s="4"/>
      <c r="H47" s="4"/>
      <c r="I47" s="4"/>
      <c r="J47" s="4"/>
      <c r="K47" s="4"/>
      <c r="L47" s="4"/>
      <c r="M47" s="4"/>
      <c r="N47" s="4"/>
      <c r="O47" s="4"/>
      <c r="P47" s="4"/>
      <c r="Q47" s="4"/>
      <c r="R47" s="4"/>
      <c r="S47" s="4"/>
      <c r="T47" s="4"/>
      <c r="U47" s="4"/>
      <c r="V47" s="4"/>
    </row>
    <row r="48" spans="1:22" x14ac:dyDescent="0.3">
      <c r="A48" s="4"/>
      <c r="B48" s="4"/>
      <c r="C48" s="4"/>
      <c r="D48" s="4"/>
      <c r="E48" s="4"/>
      <c r="F48" s="4"/>
      <c r="G48" s="4"/>
      <c r="H48" s="4"/>
      <c r="I48" s="4"/>
      <c r="J48" s="4"/>
      <c r="K48" s="4"/>
      <c r="L48" s="4"/>
      <c r="M48" s="4"/>
      <c r="N48" s="4"/>
      <c r="O48" s="4"/>
      <c r="P48" s="4"/>
      <c r="Q48" s="4"/>
      <c r="R48" s="4"/>
      <c r="S48" s="4"/>
      <c r="T48" s="4"/>
      <c r="U48" s="4"/>
      <c r="V48" s="4"/>
    </row>
    <row r="49" spans="1:22" x14ac:dyDescent="0.3">
      <c r="A49" s="4"/>
      <c r="B49" s="4"/>
      <c r="C49" s="4"/>
      <c r="D49" s="4"/>
      <c r="E49" s="4"/>
      <c r="F49" s="4"/>
      <c r="G49" s="4"/>
      <c r="H49" s="4"/>
      <c r="I49" s="4"/>
      <c r="J49" s="4"/>
      <c r="K49" s="4"/>
      <c r="L49" s="4"/>
      <c r="M49" s="4"/>
      <c r="N49" s="4"/>
      <c r="O49" s="4"/>
      <c r="P49" s="4"/>
      <c r="Q49" s="4"/>
      <c r="R49" s="4"/>
      <c r="S49" s="4"/>
      <c r="T49" s="4"/>
      <c r="U49" s="4"/>
      <c r="V49" s="4"/>
    </row>
    <row r="50" spans="1:22" x14ac:dyDescent="0.3">
      <c r="A50" s="4"/>
      <c r="B50" s="4"/>
      <c r="C50" s="4"/>
      <c r="D50" s="4"/>
      <c r="E50" s="4"/>
      <c r="F50" s="4"/>
      <c r="G50" s="4"/>
      <c r="H50" s="4"/>
      <c r="I50" s="4"/>
      <c r="J50" s="4"/>
      <c r="K50" s="4"/>
      <c r="L50" s="4"/>
      <c r="M50" s="4"/>
      <c r="N50" s="4"/>
      <c r="O50" s="4"/>
      <c r="P50" s="4"/>
      <c r="Q50" s="4"/>
      <c r="R50" s="4"/>
      <c r="S50" s="4"/>
      <c r="T50" s="4"/>
      <c r="U50" s="4"/>
      <c r="V50" s="4"/>
    </row>
    <row r="51" spans="1:22" x14ac:dyDescent="0.3">
      <c r="A51" s="4"/>
      <c r="B51" s="4"/>
      <c r="C51" s="4"/>
      <c r="D51" s="4"/>
      <c r="E51" s="4"/>
      <c r="F51" s="4"/>
      <c r="G51" s="4"/>
      <c r="H51" s="4"/>
      <c r="I51" s="4"/>
      <c r="J51" s="4"/>
      <c r="K51" s="4"/>
      <c r="L51" s="4"/>
      <c r="M51" s="4"/>
      <c r="N51" s="4"/>
      <c r="O51" s="4"/>
      <c r="P51" s="4"/>
      <c r="Q51" s="4"/>
      <c r="R51" s="4"/>
      <c r="S51" s="4"/>
      <c r="T51" s="4"/>
      <c r="U51" s="4"/>
      <c r="V51" s="4"/>
    </row>
    <row r="52" spans="1:22" x14ac:dyDescent="0.3">
      <c r="A52" s="4"/>
      <c r="B52" s="4"/>
      <c r="C52" s="4"/>
      <c r="D52" s="4"/>
      <c r="E52" s="4"/>
      <c r="F52" s="4"/>
      <c r="G52" s="4"/>
      <c r="H52" s="4"/>
      <c r="I52" s="4"/>
      <c r="J52" s="4"/>
      <c r="K52" s="4"/>
      <c r="L52" s="4"/>
      <c r="M52" s="4"/>
      <c r="N52" s="4"/>
      <c r="O52" s="4"/>
      <c r="P52" s="4"/>
      <c r="Q52" s="4"/>
      <c r="R52" s="4"/>
      <c r="S52" s="4"/>
      <c r="T52" s="4"/>
      <c r="U52" s="4"/>
      <c r="V52" s="4"/>
    </row>
    <row r="53" spans="1:22" x14ac:dyDescent="0.3">
      <c r="A53" s="4"/>
      <c r="B53" s="4"/>
      <c r="C53" s="4"/>
      <c r="D53" s="4"/>
      <c r="E53" s="4"/>
      <c r="F53" s="4"/>
      <c r="G53" s="4"/>
      <c r="H53" s="4"/>
      <c r="I53" s="4"/>
      <c r="J53" s="4"/>
      <c r="K53" s="4"/>
      <c r="L53" s="4"/>
      <c r="M53" s="4"/>
      <c r="N53" s="4"/>
      <c r="O53" s="4"/>
      <c r="P53" s="4"/>
      <c r="Q53" s="4"/>
      <c r="R53" s="4"/>
      <c r="S53" s="4"/>
      <c r="T53" s="4"/>
      <c r="U53" s="4"/>
      <c r="V53" s="4"/>
    </row>
    <row r="54" spans="1:22" x14ac:dyDescent="0.3">
      <c r="A54" s="4"/>
      <c r="B54" s="4"/>
      <c r="C54" s="4"/>
      <c r="D54" s="4"/>
      <c r="E54" s="4"/>
      <c r="F54" s="4"/>
      <c r="G54" s="4"/>
      <c r="H54" s="4"/>
      <c r="I54" s="4"/>
      <c r="J54" s="4"/>
      <c r="K54" s="4"/>
      <c r="L54" s="4"/>
      <c r="M54" s="4"/>
      <c r="N54" s="4"/>
      <c r="O54" s="4"/>
      <c r="P54" s="4"/>
      <c r="Q54" s="4"/>
      <c r="R54" s="4"/>
      <c r="S54" s="4"/>
      <c r="T54" s="4"/>
      <c r="U54" s="4"/>
      <c r="V54" s="4"/>
    </row>
    <row r="55" spans="1:22" x14ac:dyDescent="0.3">
      <c r="A55" s="4"/>
      <c r="B55" s="4"/>
      <c r="C55" s="4"/>
      <c r="D55" s="4"/>
      <c r="E55" s="4"/>
      <c r="F55" s="4"/>
      <c r="G55" s="4"/>
      <c r="H55" s="4"/>
      <c r="I55" s="4"/>
      <c r="J55" s="4"/>
      <c r="K55" s="4"/>
      <c r="L55" s="4"/>
      <c r="M55" s="4"/>
      <c r="N55" s="4"/>
      <c r="O55" s="4"/>
      <c r="P55" s="4"/>
      <c r="Q55" s="4"/>
      <c r="R55" s="4"/>
      <c r="S55" s="4"/>
      <c r="T55" s="4"/>
      <c r="U55" s="4"/>
      <c r="V55" s="4"/>
    </row>
    <row r="56" spans="1:22" x14ac:dyDescent="0.3">
      <c r="A56" s="4"/>
      <c r="B56" s="4"/>
      <c r="C56" s="4"/>
      <c r="D56" s="4"/>
      <c r="E56" s="4"/>
      <c r="F56" s="4"/>
      <c r="G56" s="4"/>
      <c r="H56" s="4"/>
      <c r="I56" s="4"/>
      <c r="J56" s="4"/>
      <c r="K56" s="4"/>
      <c r="L56" s="4"/>
      <c r="M56" s="4"/>
      <c r="N56" s="4"/>
      <c r="O56" s="4"/>
      <c r="P56" s="4"/>
      <c r="Q56" s="4"/>
      <c r="R56" s="4"/>
      <c r="S56" s="4"/>
      <c r="T56" s="4"/>
      <c r="U56" s="4"/>
      <c r="V56" s="4"/>
    </row>
    <row r="57" spans="1:22" x14ac:dyDescent="0.3">
      <c r="A57" s="4"/>
      <c r="B57" s="4"/>
      <c r="C57" s="4"/>
      <c r="D57" s="4"/>
      <c r="E57" s="4"/>
      <c r="F57" s="4"/>
      <c r="G57" s="4"/>
      <c r="H57" s="4"/>
      <c r="I57" s="4"/>
      <c r="J57" s="4"/>
      <c r="K57" s="4"/>
      <c r="L57" s="4"/>
      <c r="M57" s="4"/>
      <c r="N57" s="4"/>
      <c r="O57" s="4"/>
      <c r="P57" s="4"/>
      <c r="Q57" s="4"/>
      <c r="R57" s="4"/>
      <c r="S57" s="4"/>
      <c r="T57" s="4"/>
      <c r="U57" s="4"/>
      <c r="V57" s="4"/>
    </row>
    <row r="58" spans="1:22" x14ac:dyDescent="0.3">
      <c r="A58" s="4"/>
      <c r="B58" s="4"/>
      <c r="C58" s="4"/>
      <c r="D58" s="4"/>
      <c r="E58" s="4"/>
      <c r="F58" s="4"/>
      <c r="G58" s="4"/>
      <c r="H58" s="4"/>
      <c r="I58" s="4"/>
      <c r="J58" s="4"/>
      <c r="K58" s="4"/>
      <c r="L58" s="4"/>
      <c r="M58" s="4"/>
      <c r="N58" s="4"/>
      <c r="O58" s="4"/>
      <c r="P58" s="4"/>
      <c r="Q58" s="4"/>
      <c r="R58" s="4"/>
      <c r="S58" s="4"/>
      <c r="T58" s="4"/>
      <c r="U58" s="4"/>
      <c r="V58"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AC61-8499-4F76-A5B2-CCA8DCB7FBF5}">
  <dimension ref="A1:Q25"/>
  <sheetViews>
    <sheetView workbookViewId="0"/>
  </sheetViews>
  <sheetFormatPr defaultRowHeight="14.4" x14ac:dyDescent="0.3"/>
  <sheetData>
    <row r="1" spans="1:17" x14ac:dyDescent="0.3">
      <c r="A1" s="6"/>
      <c r="B1" s="6"/>
      <c r="C1" s="6"/>
      <c r="D1" s="6"/>
      <c r="E1" s="6"/>
      <c r="F1" s="6"/>
      <c r="G1" s="6"/>
      <c r="H1" s="6"/>
      <c r="I1" s="6"/>
      <c r="J1" s="6"/>
      <c r="K1" s="6"/>
      <c r="L1" s="6"/>
      <c r="M1" s="6"/>
      <c r="N1" s="6"/>
      <c r="O1" s="6"/>
      <c r="P1" s="6"/>
      <c r="Q1" s="6"/>
    </row>
    <row r="2" spans="1:17" x14ac:dyDescent="0.3">
      <c r="A2" s="6"/>
      <c r="B2" s="6"/>
      <c r="C2" s="6"/>
      <c r="D2" s="6"/>
      <c r="E2" s="6"/>
      <c r="F2" s="6"/>
      <c r="G2" s="6"/>
      <c r="H2" s="6"/>
      <c r="I2" s="6"/>
      <c r="J2" s="6"/>
      <c r="K2" s="6"/>
      <c r="L2" s="6"/>
      <c r="M2" s="6"/>
      <c r="N2" s="6"/>
      <c r="O2" s="6"/>
      <c r="P2" s="6"/>
      <c r="Q2" s="6"/>
    </row>
    <row r="3" spans="1:17" x14ac:dyDescent="0.3">
      <c r="A3" s="6"/>
      <c r="B3" s="6"/>
      <c r="C3" s="6"/>
      <c r="D3" s="6"/>
      <c r="E3" s="6"/>
      <c r="F3" s="6"/>
      <c r="G3" s="6"/>
      <c r="H3" s="6"/>
      <c r="I3" s="6"/>
      <c r="J3" s="6"/>
      <c r="K3" s="6"/>
      <c r="L3" s="6"/>
      <c r="M3" s="6"/>
      <c r="N3" s="6"/>
      <c r="O3" s="6"/>
      <c r="P3" s="6"/>
      <c r="Q3" s="6"/>
    </row>
    <row r="4" spans="1:17" x14ac:dyDescent="0.3">
      <c r="A4" s="6"/>
      <c r="B4" s="6"/>
      <c r="C4" s="6"/>
      <c r="D4" s="6"/>
      <c r="E4" s="6"/>
      <c r="F4" s="6"/>
      <c r="G4" s="6"/>
      <c r="H4" s="6"/>
      <c r="I4" s="6"/>
      <c r="J4" s="6"/>
      <c r="K4" s="6"/>
      <c r="L4" s="6"/>
      <c r="M4" s="6"/>
      <c r="N4" s="6"/>
      <c r="O4" s="6"/>
      <c r="P4" s="6"/>
      <c r="Q4" s="6"/>
    </row>
    <row r="5" spans="1:17" x14ac:dyDescent="0.3">
      <c r="A5" s="6"/>
      <c r="B5" s="6"/>
      <c r="C5" s="6"/>
      <c r="D5" s="6"/>
      <c r="E5" s="6"/>
      <c r="F5" s="6"/>
      <c r="G5" s="6"/>
      <c r="H5" s="6"/>
      <c r="I5" s="6"/>
      <c r="J5" s="6"/>
      <c r="K5" s="6"/>
      <c r="L5" s="6"/>
      <c r="M5" s="6"/>
      <c r="N5" s="6"/>
      <c r="O5" s="6"/>
      <c r="P5" s="6"/>
      <c r="Q5" s="6"/>
    </row>
    <row r="6" spans="1:17" x14ac:dyDescent="0.3">
      <c r="A6" s="6"/>
      <c r="B6" s="6"/>
      <c r="C6" s="6"/>
      <c r="D6" s="6"/>
      <c r="E6" s="6"/>
      <c r="F6" s="6"/>
      <c r="G6" s="6"/>
      <c r="H6" s="6"/>
      <c r="I6" s="6"/>
      <c r="J6" s="6"/>
      <c r="K6" s="6"/>
      <c r="L6" s="6"/>
      <c r="M6" s="6"/>
      <c r="N6" s="6"/>
      <c r="O6" s="6"/>
      <c r="P6" s="6"/>
      <c r="Q6" s="6"/>
    </row>
    <row r="7" spans="1:17" x14ac:dyDescent="0.3">
      <c r="A7" s="6"/>
      <c r="B7" s="6"/>
      <c r="C7" s="6"/>
      <c r="D7" s="6"/>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6"/>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x14ac:dyDescent="0.3">
      <c r="A11" s="6"/>
      <c r="B11" s="6"/>
      <c r="C11" s="6"/>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row r="13" spans="1:17" x14ac:dyDescent="0.3">
      <c r="A13" s="6"/>
      <c r="B13" s="6"/>
      <c r="C13" s="6"/>
      <c r="D13" s="6"/>
      <c r="E13" s="6"/>
      <c r="F13" s="6"/>
      <c r="G13" s="6"/>
      <c r="H13" s="6"/>
      <c r="I13" s="6"/>
      <c r="J13" s="6"/>
      <c r="K13" s="6"/>
      <c r="L13" s="6"/>
      <c r="M13" s="6"/>
      <c r="N13" s="6"/>
      <c r="O13" s="6"/>
      <c r="P13" s="6"/>
      <c r="Q13" s="6"/>
    </row>
    <row r="14" spans="1:17" x14ac:dyDescent="0.3">
      <c r="A14" s="6"/>
      <c r="B14" s="6"/>
      <c r="C14" s="6"/>
      <c r="D14" s="6"/>
      <c r="E14" s="6"/>
      <c r="F14" s="6"/>
      <c r="G14" s="6"/>
      <c r="H14" s="6"/>
      <c r="I14" s="6"/>
      <c r="J14" s="6"/>
      <c r="K14" s="6"/>
      <c r="L14" s="6"/>
      <c r="M14" s="6"/>
      <c r="N14" s="6"/>
      <c r="O14" s="6"/>
      <c r="P14" s="6"/>
      <c r="Q14" s="6"/>
    </row>
    <row r="15" spans="1:17" x14ac:dyDescent="0.3">
      <c r="A15" s="6"/>
      <c r="B15" s="6"/>
      <c r="C15" s="6"/>
      <c r="D15" s="6"/>
      <c r="E15" s="6"/>
      <c r="F15" s="6"/>
      <c r="G15" s="6"/>
      <c r="H15" s="6"/>
      <c r="I15" s="6"/>
      <c r="J15" s="6"/>
      <c r="K15" s="6"/>
      <c r="L15" s="6"/>
      <c r="M15" s="6"/>
      <c r="N15" s="6"/>
      <c r="O15" s="6"/>
      <c r="P15" s="6"/>
      <c r="Q15" s="6"/>
    </row>
    <row r="16" spans="1:17" x14ac:dyDescent="0.3">
      <c r="A16" s="6"/>
      <c r="B16" s="6"/>
      <c r="C16" s="6"/>
      <c r="D16" s="6"/>
      <c r="E16" s="6"/>
      <c r="F16" s="6"/>
      <c r="G16" s="6"/>
      <c r="H16" s="6"/>
      <c r="I16" s="6"/>
      <c r="J16" s="6"/>
      <c r="K16" s="6"/>
      <c r="L16" s="6"/>
      <c r="M16" s="6"/>
      <c r="N16" s="6"/>
      <c r="O16" s="6"/>
      <c r="P16" s="6"/>
      <c r="Q16" s="6"/>
    </row>
    <row r="17" spans="1:17" x14ac:dyDescent="0.3">
      <c r="A17" s="6"/>
      <c r="B17" s="6"/>
      <c r="C17" s="6"/>
      <c r="D17" s="6"/>
      <c r="E17" s="6"/>
      <c r="F17" s="6"/>
      <c r="G17" s="6"/>
      <c r="H17" s="6"/>
      <c r="I17" s="6"/>
      <c r="J17" s="6"/>
      <c r="K17" s="6"/>
      <c r="L17" s="6"/>
      <c r="M17" s="6"/>
      <c r="N17" s="6"/>
      <c r="O17" s="6"/>
      <c r="P17" s="6"/>
      <c r="Q17" s="6"/>
    </row>
    <row r="18" spans="1:17" x14ac:dyDescent="0.3">
      <c r="A18" s="6"/>
      <c r="B18" s="6"/>
      <c r="C18" s="6"/>
      <c r="D18" s="6"/>
      <c r="E18" s="6"/>
      <c r="F18" s="6"/>
      <c r="G18" s="6"/>
      <c r="H18" s="6"/>
      <c r="I18" s="6"/>
      <c r="J18" s="6"/>
      <c r="K18" s="6"/>
      <c r="L18" s="6"/>
      <c r="M18" s="6"/>
      <c r="N18" s="6"/>
      <c r="O18" s="6"/>
      <c r="P18" s="6"/>
      <c r="Q18" s="6"/>
    </row>
    <row r="19" spans="1:17" x14ac:dyDescent="0.3">
      <c r="A19" s="6"/>
      <c r="B19" s="6"/>
      <c r="C19" s="6"/>
      <c r="D19" s="6"/>
      <c r="E19" s="6"/>
      <c r="F19" s="6"/>
      <c r="G19" s="6"/>
      <c r="H19" s="6"/>
      <c r="I19" s="6"/>
      <c r="J19" s="6"/>
      <c r="K19" s="6"/>
      <c r="L19" s="6"/>
      <c r="M19" s="6"/>
      <c r="N19" s="6"/>
      <c r="O19" s="6"/>
      <c r="P19" s="6"/>
      <c r="Q19" s="6"/>
    </row>
    <row r="20" spans="1:17" x14ac:dyDescent="0.3">
      <c r="A20" s="6"/>
      <c r="B20" s="6"/>
      <c r="C20" s="6"/>
      <c r="D20" s="6"/>
      <c r="E20" s="6"/>
      <c r="F20" s="6"/>
      <c r="G20" s="6"/>
      <c r="H20" s="6"/>
      <c r="I20" s="6"/>
      <c r="J20" s="6"/>
      <c r="K20" s="6"/>
      <c r="L20" s="6"/>
      <c r="M20" s="6"/>
      <c r="N20" s="6"/>
      <c r="O20" s="6"/>
      <c r="P20" s="6"/>
      <c r="Q20" s="6"/>
    </row>
    <row r="21" spans="1:17" x14ac:dyDescent="0.3">
      <c r="A21" s="6"/>
      <c r="B21" s="6"/>
      <c r="C21" s="6"/>
      <c r="D21" s="6"/>
      <c r="E21" s="6"/>
      <c r="F21" s="6"/>
      <c r="G21" s="6"/>
      <c r="H21" s="6"/>
      <c r="I21" s="6"/>
      <c r="J21" s="6"/>
      <c r="K21" s="6"/>
      <c r="L21" s="6"/>
      <c r="M21" s="6"/>
      <c r="N21" s="6"/>
      <c r="O21" s="6"/>
      <c r="P21" s="6"/>
      <c r="Q21" s="6"/>
    </row>
    <row r="22" spans="1:17" x14ac:dyDescent="0.3">
      <c r="A22" s="6"/>
      <c r="B22" s="6"/>
      <c r="C22" s="6"/>
      <c r="D22" s="6"/>
      <c r="E22" s="6"/>
      <c r="F22" s="6"/>
      <c r="G22" s="6"/>
      <c r="H22" s="6"/>
      <c r="I22" s="6"/>
      <c r="J22" s="6"/>
      <c r="K22" s="6"/>
      <c r="L22" s="6"/>
      <c r="M22" s="6"/>
      <c r="N22" s="6"/>
      <c r="O22" s="6"/>
      <c r="P22" s="6"/>
      <c r="Q22" s="6"/>
    </row>
    <row r="23" spans="1:17" x14ac:dyDescent="0.3">
      <c r="A23" s="6"/>
      <c r="B23" s="6"/>
      <c r="C23" s="6"/>
      <c r="D23" s="6"/>
      <c r="E23" s="6"/>
      <c r="F23" s="6"/>
      <c r="G23" s="6"/>
      <c r="H23" s="6"/>
      <c r="I23" s="6"/>
      <c r="J23" s="6"/>
      <c r="K23" s="6"/>
      <c r="L23" s="6"/>
      <c r="M23" s="6"/>
      <c r="N23" s="6"/>
      <c r="O23" s="6"/>
      <c r="P23" s="6"/>
      <c r="Q23" s="6"/>
    </row>
    <row r="24" spans="1:17" x14ac:dyDescent="0.3">
      <c r="A24" s="6"/>
      <c r="B24" s="6"/>
      <c r="C24" s="6"/>
      <c r="D24" s="6"/>
      <c r="E24" s="6"/>
      <c r="F24" s="6"/>
      <c r="G24" s="6"/>
      <c r="H24" s="6"/>
      <c r="I24" s="6"/>
      <c r="J24" s="6"/>
      <c r="K24" s="6"/>
      <c r="L24" s="6"/>
      <c r="M24" s="6"/>
      <c r="N24" s="6"/>
      <c r="O24" s="6"/>
      <c r="P24" s="6"/>
      <c r="Q24" s="6"/>
    </row>
    <row r="25" spans="1:17" x14ac:dyDescent="0.3">
      <c r="A25" s="6"/>
      <c r="B25" s="6"/>
      <c r="C25" s="6"/>
      <c r="D25" s="6"/>
      <c r="E25" s="6"/>
      <c r="F25" s="6"/>
      <c r="G25" s="6"/>
      <c r="H25" s="6"/>
      <c r="I25" s="6"/>
      <c r="J25" s="6"/>
      <c r="K25" s="6"/>
      <c r="L25" s="6"/>
      <c r="M25" s="6"/>
      <c r="N25" s="6"/>
      <c r="O25" s="6"/>
      <c r="P25" s="6"/>
      <c r="Q25"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BDB32-F78B-47F0-9000-CF1AD63521F3}">
  <dimension ref="A1:S27"/>
  <sheetViews>
    <sheetView workbookViewId="0"/>
  </sheetViews>
  <sheetFormatPr defaultRowHeight="14.4" x14ac:dyDescent="0.3"/>
  <sheetData>
    <row r="1" spans="1:19" x14ac:dyDescent="0.3">
      <c r="A1" s="6"/>
      <c r="B1" s="6"/>
      <c r="C1" s="6"/>
      <c r="D1" s="6"/>
      <c r="E1" s="6"/>
      <c r="F1" s="6"/>
      <c r="G1" s="6"/>
      <c r="H1" s="6"/>
      <c r="I1" s="6"/>
      <c r="J1" s="6"/>
      <c r="K1" s="6"/>
      <c r="L1" s="6"/>
      <c r="M1" s="6"/>
      <c r="N1" s="6"/>
      <c r="O1" s="6"/>
      <c r="P1" s="6"/>
      <c r="Q1" s="6"/>
      <c r="R1" s="6"/>
      <c r="S1" s="6"/>
    </row>
    <row r="2" spans="1:19" x14ac:dyDescent="0.3">
      <c r="A2" s="6"/>
      <c r="B2" s="6"/>
      <c r="C2" s="6"/>
      <c r="D2" s="6"/>
      <c r="E2" s="6"/>
      <c r="F2" s="6"/>
      <c r="G2" s="6"/>
      <c r="H2" s="6"/>
      <c r="I2" s="6"/>
      <c r="J2" s="6"/>
      <c r="K2" s="6"/>
      <c r="L2" s="6"/>
      <c r="M2" s="6"/>
      <c r="N2" s="6"/>
      <c r="O2" s="6"/>
      <c r="P2" s="6"/>
      <c r="Q2" s="6"/>
      <c r="R2" s="6"/>
      <c r="S2" s="6"/>
    </row>
    <row r="3" spans="1:19" x14ac:dyDescent="0.3">
      <c r="A3" s="6"/>
      <c r="B3" s="6"/>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6"/>
      <c r="K14" s="6"/>
      <c r="L14" s="6"/>
      <c r="M14" s="6"/>
      <c r="N14" s="6"/>
      <c r="O14" s="6"/>
      <c r="P14" s="6"/>
      <c r="Q14" s="6"/>
      <c r="R14" s="6"/>
      <c r="S14" s="6"/>
    </row>
    <row r="15" spans="1:19" x14ac:dyDescent="0.3">
      <c r="A15" s="6"/>
      <c r="B15" s="6"/>
      <c r="C15" s="6"/>
      <c r="D15" s="6"/>
      <c r="E15" s="6"/>
      <c r="F15" s="6"/>
      <c r="G15" s="6"/>
      <c r="H15" s="6"/>
      <c r="I15" s="6"/>
      <c r="J15" s="6"/>
      <c r="K15" s="6"/>
      <c r="L15" s="6"/>
      <c r="M15" s="6"/>
      <c r="N15" s="6"/>
      <c r="O15" s="6"/>
      <c r="P15" s="6"/>
      <c r="Q15" s="6"/>
      <c r="R15" s="6"/>
      <c r="S15" s="6"/>
    </row>
    <row r="16" spans="1:19" x14ac:dyDescent="0.3">
      <c r="A16" s="6"/>
      <c r="B16" s="6"/>
      <c r="C16" s="6"/>
      <c r="D16" s="6"/>
      <c r="E16" s="6"/>
      <c r="F16" s="6"/>
      <c r="G16" s="6"/>
      <c r="H16" s="6"/>
      <c r="I16" s="6"/>
      <c r="J16" s="6"/>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6"/>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A23" s="6"/>
      <c r="B23" s="6"/>
      <c r="C23" s="6"/>
      <c r="D23" s="6"/>
      <c r="E23" s="6"/>
      <c r="F23" s="6"/>
      <c r="G23" s="6"/>
      <c r="H23" s="6"/>
      <c r="I23" s="6"/>
      <c r="J23" s="6"/>
      <c r="K23" s="6"/>
      <c r="L23" s="6"/>
      <c r="M23" s="6"/>
      <c r="N23" s="6"/>
      <c r="O23" s="6"/>
      <c r="P23" s="6"/>
      <c r="Q23" s="6"/>
      <c r="R23" s="6"/>
      <c r="S23" s="6"/>
    </row>
    <row r="24" spans="1:19" x14ac:dyDescent="0.3">
      <c r="A24" s="6"/>
      <c r="B24" s="6"/>
      <c r="C24" s="6"/>
      <c r="D24" s="6"/>
      <c r="E24" s="6"/>
      <c r="F24" s="6"/>
      <c r="G24" s="6"/>
      <c r="H24" s="6"/>
      <c r="I24" s="6"/>
      <c r="J24" s="6"/>
      <c r="K24" s="6"/>
      <c r="L24" s="6"/>
      <c r="M24" s="6"/>
      <c r="N24" s="6"/>
      <c r="O24" s="6"/>
      <c r="P24" s="6"/>
      <c r="Q24" s="6"/>
      <c r="R24" s="6"/>
      <c r="S24" s="6"/>
    </row>
    <row r="25" spans="1:19" x14ac:dyDescent="0.3">
      <c r="A25" s="6"/>
      <c r="B25" s="6"/>
      <c r="C25" s="6"/>
      <c r="D25" s="6"/>
      <c r="E25" s="6"/>
      <c r="F25" s="6"/>
      <c r="G25" s="6"/>
      <c r="H25" s="6"/>
      <c r="I25" s="6"/>
      <c r="J25" s="6"/>
      <c r="K25" s="6"/>
      <c r="L25" s="6"/>
      <c r="M25" s="6"/>
      <c r="N25" s="6"/>
      <c r="O25" s="6"/>
      <c r="P25" s="6"/>
      <c r="Q25" s="6"/>
      <c r="R25" s="6"/>
      <c r="S25" s="6"/>
    </row>
    <row r="26" spans="1:19" x14ac:dyDescent="0.3">
      <c r="A26" s="6"/>
      <c r="B26" s="6"/>
      <c r="C26" s="6"/>
      <c r="D26" s="6"/>
      <c r="E26" s="6"/>
      <c r="F26" s="6"/>
      <c r="G26" s="6"/>
      <c r="H26" s="6"/>
      <c r="I26" s="6"/>
      <c r="J26" s="6"/>
      <c r="K26" s="6"/>
      <c r="L26" s="6"/>
      <c r="M26" s="6"/>
      <c r="N26" s="6"/>
      <c r="O26" s="6"/>
      <c r="P26" s="6"/>
      <c r="Q26" s="6"/>
      <c r="R26" s="6"/>
      <c r="S26" s="6"/>
    </row>
    <row r="27" spans="1:19" x14ac:dyDescent="0.3">
      <c r="A27" s="6"/>
      <c r="B27" s="6"/>
      <c r="C27" s="6"/>
      <c r="D27" s="6"/>
      <c r="E27" s="6"/>
      <c r="F27" s="6"/>
      <c r="G27" s="6"/>
      <c r="H27" s="6"/>
      <c r="I27" s="6"/>
      <c r="J27" s="6"/>
      <c r="K27" s="6"/>
      <c r="L27" s="6"/>
      <c r="M27" s="6"/>
      <c r="N27" s="6"/>
      <c r="O27" s="6"/>
      <c r="P27" s="6"/>
      <c r="Q27" s="6"/>
      <c r="R27" s="6"/>
      <c r="S27"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658AE-6CA3-42D3-A70F-E703659DFFF4}">
  <dimension ref="A2:R27"/>
  <sheetViews>
    <sheetView workbookViewId="0"/>
  </sheetViews>
  <sheetFormatPr defaultRowHeight="14.4" x14ac:dyDescent="0.3"/>
  <sheetData>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6"/>
      <c r="B23" s="6"/>
      <c r="C23" s="6"/>
      <c r="D23" s="6"/>
      <c r="E23" s="6"/>
      <c r="F23" s="6"/>
      <c r="G23" s="6"/>
      <c r="H23" s="6"/>
      <c r="I23" s="6"/>
      <c r="J23" s="6"/>
      <c r="K23" s="6"/>
      <c r="L23" s="6"/>
      <c r="M23" s="6"/>
      <c r="N23" s="6"/>
      <c r="O23" s="6"/>
      <c r="P23" s="6"/>
      <c r="Q23" s="6"/>
      <c r="R23" s="6"/>
    </row>
    <row r="24" spans="1:18" x14ac:dyDescent="0.3">
      <c r="A24" s="6"/>
      <c r="B24" s="6"/>
      <c r="C24" s="6"/>
      <c r="D24" s="6"/>
      <c r="E24" s="6"/>
      <c r="F24" s="6"/>
      <c r="G24" s="6"/>
      <c r="H24" s="6"/>
      <c r="I24" s="6"/>
      <c r="J24" s="6"/>
      <c r="K24" s="6"/>
      <c r="L24" s="6"/>
      <c r="M24" s="6"/>
      <c r="N24" s="6"/>
      <c r="O24" s="6"/>
      <c r="P24" s="6"/>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E20B504-A1DB-452B-B7B2-1FCA0F04D18E}">
  <ds:schemaRefs/>
</ds:datastoreItem>
</file>

<file path=customXml/itemProps2.xml><?xml version="1.0" encoding="utf-8"?>
<ds:datastoreItem xmlns:ds="http://schemas.openxmlformats.org/officeDocument/2006/customXml" ds:itemID="{890E3511-F13B-4138-A80E-C7C15B056D89}">
  <ds:schemaRefs/>
</ds:datastoreItem>
</file>

<file path=customXml/itemProps3.xml><?xml version="1.0" encoding="utf-8"?>
<ds:datastoreItem xmlns:ds="http://schemas.openxmlformats.org/officeDocument/2006/customXml" ds:itemID="{48F7502F-00A0-4C18-B439-AFF27E85B8BC}">
  <ds:schemaRefs/>
</ds:datastoreItem>
</file>

<file path=customXml/itemProps4.xml><?xml version="1.0" encoding="utf-8"?>
<ds:datastoreItem xmlns:ds="http://schemas.openxmlformats.org/officeDocument/2006/customXml" ds:itemID="{E1594081-96DC-4C44-AEEC-D12F4A15BA1E}">
  <ds:schemaRefs/>
</ds:datastoreItem>
</file>

<file path=customXml/itemProps5.xml><?xml version="1.0" encoding="utf-8"?>
<ds:datastoreItem xmlns:ds="http://schemas.openxmlformats.org/officeDocument/2006/customXml" ds:itemID="{2CF67970-59B1-4D4A-9D02-C60D96E94C7A}">
  <ds:schemaRefs/>
</ds:datastoreItem>
</file>

<file path=customXml/itemProps6.xml><?xml version="1.0" encoding="utf-8"?>
<ds:datastoreItem xmlns:ds="http://schemas.openxmlformats.org/officeDocument/2006/customXml" ds:itemID="{15E935A4-DCF6-42DD-81F1-675CF4AD2CA9}">
  <ds:schemaRefs/>
</ds:datastoreItem>
</file>

<file path=customXml/itemProps7.xml><?xml version="1.0" encoding="utf-8"?>
<ds:datastoreItem xmlns:ds="http://schemas.openxmlformats.org/officeDocument/2006/customXml" ds:itemID="{7AEB35D5-8D6B-4381-AF6D-1C7E6A8AB047}">
  <ds:schemaRefs/>
</ds:datastoreItem>
</file>

<file path=customXml/itemProps8.xml><?xml version="1.0" encoding="utf-8"?>
<ds:datastoreItem xmlns:ds="http://schemas.openxmlformats.org/officeDocument/2006/customXml" ds:itemID="{45408C60-BCE9-41F5-9381-DA34B7A7F80E}">
  <ds:schemaRefs/>
</ds:datastoreItem>
</file>

<file path=customXml/itemProps9.xml><?xml version="1.0" encoding="utf-8"?>
<ds:datastoreItem xmlns:ds="http://schemas.openxmlformats.org/officeDocument/2006/customXml" ds:itemID="{9C4070C0-79C5-41E9-B812-D620C492A528}">
  <ds:schemaRefs/>
</ds:datastoreItem>
</file>

<file path=customXml/itemProps10.xml><?xml version="1.0" encoding="utf-8"?>
<ds:datastoreItem xmlns:ds="http://schemas.openxmlformats.org/officeDocument/2006/customXml" ds:itemID="{8E02A901-0FC3-4371-8B8D-E9083275A6D9}">
  <ds:schemaRefs>
    <ds:schemaRef ds:uri="http://schemas.microsoft.com/DataMashup"/>
  </ds:schemaRefs>
</ds:datastoreItem>
</file>

<file path=customXml/itemProps11.xml><?xml version="1.0" encoding="utf-8"?>
<ds:datastoreItem xmlns:ds="http://schemas.openxmlformats.org/officeDocument/2006/customXml" ds:itemID="{09E9D8FB-1ACD-4777-AA79-926E84595F58}">
  <ds:schemaRefs/>
</ds:datastoreItem>
</file>

<file path=customXml/itemProps12.xml><?xml version="1.0" encoding="utf-8"?>
<ds:datastoreItem xmlns:ds="http://schemas.openxmlformats.org/officeDocument/2006/customXml" ds:itemID="{65F6DFEF-AFCA-4F0C-BE1C-488AE9892306}">
  <ds:schemaRefs/>
</ds:datastoreItem>
</file>

<file path=customXml/itemProps13.xml><?xml version="1.0" encoding="utf-8"?>
<ds:datastoreItem xmlns:ds="http://schemas.openxmlformats.org/officeDocument/2006/customXml" ds:itemID="{95F31DCD-56F6-48A6-A6E2-29E68B44A3DD}">
  <ds:schemaRefs/>
</ds:datastoreItem>
</file>

<file path=customXml/itemProps14.xml><?xml version="1.0" encoding="utf-8"?>
<ds:datastoreItem xmlns:ds="http://schemas.openxmlformats.org/officeDocument/2006/customXml" ds:itemID="{0A51A1D8-2E83-4BC7-A55B-52437BAEA312}">
  <ds:schemaRefs/>
</ds:datastoreItem>
</file>

<file path=customXml/itemProps15.xml><?xml version="1.0" encoding="utf-8"?>
<ds:datastoreItem xmlns:ds="http://schemas.openxmlformats.org/officeDocument/2006/customXml" ds:itemID="{7C0CB96F-B680-49FC-B9DE-80E3F02ED5A1}">
  <ds:schemaRefs/>
</ds:datastoreItem>
</file>

<file path=customXml/itemProps16.xml><?xml version="1.0" encoding="utf-8"?>
<ds:datastoreItem xmlns:ds="http://schemas.openxmlformats.org/officeDocument/2006/customXml" ds:itemID="{810D1982-FB37-4045-A20A-DD8D03F2C355}">
  <ds:schemaRefs/>
</ds:datastoreItem>
</file>

<file path=customXml/itemProps17.xml><?xml version="1.0" encoding="utf-8"?>
<ds:datastoreItem xmlns:ds="http://schemas.openxmlformats.org/officeDocument/2006/customXml" ds:itemID="{0BBB3924-0874-490A-8772-73EE2FFEA7CF}">
  <ds:schemaRefs/>
</ds:datastoreItem>
</file>

<file path=customXml/itemProps18.xml><?xml version="1.0" encoding="utf-8"?>
<ds:datastoreItem xmlns:ds="http://schemas.openxmlformats.org/officeDocument/2006/customXml" ds:itemID="{9D36E72A-8CD7-4527-AC89-8822E50A77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scoredaily trends</vt:lpstr>
      <vt:lpstr>Average wait time daily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SWAPANA SAHOO</dc:creator>
  <cp:lastModifiedBy>SWAPANA SAHOO</cp:lastModifiedBy>
  <dcterms:created xsi:type="dcterms:W3CDTF">2026-09-17T10:11:29Z</dcterms:created>
  <dcterms:modified xsi:type="dcterms:W3CDTF">2026-09-21T03:46:55Z</dcterms:modified>
</cp:coreProperties>
</file>